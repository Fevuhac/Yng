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850" activeTab="5" xr2:uid="{00000000-000D-0000-FFFF-FFFF00000000}"/>
  </bookViews>
  <sheets>
    <sheet name="description" sheetId="1" r:id="rId1"/>
    <sheet name="cdkey_cfg" sheetId="5" r:id="rId2"/>
    <sheet name="drawcost_cfg" sheetId="7" r:id="rId3"/>
    <sheet name="draw_cfg" sheetId="6" r:id="rId4"/>
    <sheet name="active_cfg" sheetId="8" r:id="rId5"/>
    <sheet name="activequest_cfg" sheetId="9" r:id="rId6"/>
    <sheet name="activechange_cfg" sheetId="10" r:id="rId7"/>
  </sheets>
  <functionGroups builtInGroupCount="19"/>
  <externalReferences>
    <externalReference r:id="rId8"/>
    <externalReference r:id="rId9"/>
  </externalReferences>
  <calcPr calcId="171027"/>
</workbook>
</file>

<file path=xl/calcChain.xml><?xml version="1.0" encoding="utf-8"?>
<calcChain xmlns="http://schemas.openxmlformats.org/spreadsheetml/2006/main">
  <c r="G241" i="6" l="1"/>
  <c r="A241" i="6"/>
  <c r="G240" i="6"/>
  <c r="A240" i="6"/>
  <c r="G239" i="6"/>
  <c r="A239" i="6"/>
  <c r="G238" i="6"/>
  <c r="A238" i="6"/>
  <c r="G237" i="6"/>
  <c r="A237" i="6"/>
  <c r="G236" i="6"/>
  <c r="A236" i="6"/>
  <c r="G235" i="6"/>
  <c r="A235" i="6"/>
  <c r="G234" i="6"/>
  <c r="A234" i="6"/>
  <c r="G233" i="6"/>
  <c r="A233" i="6"/>
  <c r="G232" i="6"/>
  <c r="A232" i="6"/>
  <c r="G231" i="6"/>
  <c r="A231" i="6"/>
  <c r="G230" i="6"/>
  <c r="A230" i="6"/>
  <c r="G229" i="6"/>
  <c r="A229" i="6"/>
  <c r="G228" i="6"/>
  <c r="A228" i="6"/>
  <c r="G227" i="6"/>
  <c r="A227" i="6"/>
  <c r="G226" i="6"/>
  <c r="A226" i="6"/>
  <c r="G225" i="6"/>
  <c r="A225" i="6"/>
  <c r="G224" i="6"/>
  <c r="A224" i="6"/>
  <c r="G223" i="6"/>
  <c r="A223" i="6"/>
  <c r="G222" i="6"/>
  <c r="A222" i="6"/>
  <c r="G221" i="6"/>
  <c r="A221" i="6"/>
  <c r="G220" i="6"/>
  <c r="A220" i="6"/>
  <c r="G219" i="6"/>
  <c r="A219" i="6"/>
  <c r="G218" i="6"/>
  <c r="A218" i="6"/>
  <c r="G217" i="6"/>
  <c r="A217" i="6"/>
  <c r="G216" i="6"/>
  <c r="A216" i="6"/>
  <c r="G215" i="6"/>
  <c r="A215" i="6"/>
  <c r="G214" i="6"/>
  <c r="A214" i="6"/>
  <c r="G213" i="6"/>
  <c r="A213" i="6"/>
  <c r="G212" i="6"/>
  <c r="A212" i="6"/>
  <c r="G211" i="6"/>
  <c r="A211" i="6"/>
  <c r="G210" i="6"/>
  <c r="A210" i="6"/>
  <c r="G209" i="6"/>
  <c r="A209" i="6"/>
  <c r="G208" i="6"/>
  <c r="A208" i="6"/>
  <c r="G207" i="6"/>
  <c r="A207" i="6"/>
  <c r="G206" i="6"/>
  <c r="A206" i="6"/>
  <c r="G205" i="6"/>
  <c r="A205" i="6"/>
  <c r="G204" i="6"/>
  <c r="A204" i="6"/>
  <c r="G203" i="6"/>
  <c r="A203" i="6"/>
  <c r="G202" i="6"/>
  <c r="A202" i="6"/>
  <c r="G201" i="6"/>
  <c r="A201" i="6"/>
  <c r="G200" i="6"/>
  <c r="A200" i="6"/>
  <c r="G199" i="6"/>
  <c r="A199" i="6"/>
  <c r="G198" i="6"/>
  <c r="A198" i="6"/>
  <c r="G197" i="6"/>
  <c r="A197" i="6"/>
  <c r="G196" i="6"/>
  <c r="A196" i="6"/>
  <c r="G195" i="6"/>
  <c r="A195" i="6"/>
  <c r="G194" i="6"/>
  <c r="A194" i="6"/>
  <c r="G193" i="6"/>
  <c r="A193" i="6"/>
  <c r="G192" i="6"/>
  <c r="A192" i="6"/>
  <c r="G191" i="6"/>
  <c r="A191" i="6"/>
  <c r="G190" i="6"/>
  <c r="A190" i="6"/>
  <c r="G189" i="6"/>
  <c r="A189" i="6"/>
  <c r="G188" i="6"/>
  <c r="A188" i="6"/>
  <c r="G187" i="6"/>
  <c r="A187" i="6"/>
  <c r="G186" i="6"/>
  <c r="A186" i="6"/>
  <c r="G185" i="6"/>
  <c r="A185" i="6"/>
  <c r="G184" i="6"/>
  <c r="A184" i="6"/>
  <c r="G183" i="6"/>
  <c r="A183" i="6"/>
  <c r="G182" i="6"/>
  <c r="A182" i="6"/>
  <c r="G181" i="6"/>
  <c r="A181" i="6"/>
  <c r="G180" i="6"/>
  <c r="A180" i="6"/>
  <c r="G179" i="6"/>
  <c r="A179" i="6"/>
  <c r="G178" i="6"/>
  <c r="A178" i="6"/>
  <c r="G177" i="6"/>
  <c r="A177" i="6"/>
  <c r="G176" i="6"/>
  <c r="A176" i="6"/>
  <c r="G175" i="6"/>
  <c r="A175" i="6"/>
  <c r="G174" i="6"/>
  <c r="A174" i="6"/>
  <c r="G173" i="6"/>
  <c r="A173" i="6"/>
  <c r="G172" i="6"/>
  <c r="A172" i="6"/>
  <c r="G171" i="6"/>
  <c r="A171" i="6"/>
  <c r="G170" i="6"/>
  <c r="A170" i="6"/>
  <c r="G169" i="6"/>
  <c r="A169" i="6"/>
  <c r="G168" i="6"/>
  <c r="A168" i="6"/>
  <c r="G167" i="6"/>
  <c r="A167" i="6"/>
  <c r="G166" i="6"/>
  <c r="A166" i="6"/>
  <c r="G165" i="6"/>
  <c r="A165" i="6"/>
  <c r="G164" i="6"/>
  <c r="A164" i="6"/>
  <c r="G163" i="6"/>
  <c r="A163" i="6"/>
  <c r="G162" i="6"/>
  <c r="A162" i="6"/>
  <c r="G161" i="6"/>
  <c r="A161" i="6"/>
  <c r="G160" i="6"/>
  <c r="A160" i="6"/>
  <c r="G159" i="6"/>
  <c r="A159" i="6"/>
  <c r="G158" i="6"/>
  <c r="A158" i="6"/>
  <c r="G157" i="6"/>
  <c r="A157" i="6"/>
  <c r="G156" i="6"/>
  <c r="A156" i="6"/>
  <c r="G155" i="6"/>
  <c r="A155" i="6"/>
  <c r="G154" i="6"/>
  <c r="A154" i="6"/>
  <c r="G153" i="6"/>
  <c r="A153" i="6"/>
  <c r="G152" i="6"/>
  <c r="A152" i="6"/>
  <c r="G151" i="6"/>
  <c r="A151" i="6"/>
  <c r="G150" i="6"/>
  <c r="A150" i="6"/>
  <c r="G149" i="6"/>
  <c r="A149" i="6"/>
  <c r="G148" i="6"/>
  <c r="A148" i="6"/>
  <c r="G147" i="6"/>
  <c r="A147" i="6"/>
  <c r="G146" i="6"/>
  <c r="A146" i="6"/>
  <c r="G145" i="6"/>
  <c r="A145" i="6"/>
  <c r="G144" i="6"/>
  <c r="A144" i="6"/>
  <c r="G143" i="6"/>
  <c r="A143" i="6"/>
  <c r="G142" i="6"/>
  <c r="A142" i="6"/>
  <c r="G141" i="6"/>
  <c r="A141" i="6"/>
  <c r="G140" i="6"/>
  <c r="A140" i="6"/>
  <c r="G139" i="6"/>
  <c r="A139" i="6"/>
  <c r="G138" i="6"/>
  <c r="A138" i="6"/>
  <c r="G137" i="6"/>
  <c r="A137" i="6"/>
  <c r="G136" i="6"/>
  <c r="A136" i="6"/>
  <c r="G135" i="6"/>
  <c r="A135" i="6"/>
  <c r="G134" i="6"/>
  <c r="A134" i="6"/>
  <c r="G133" i="6"/>
  <c r="A133" i="6"/>
  <c r="G132" i="6"/>
  <c r="A132" i="6"/>
  <c r="G131" i="6"/>
  <c r="A131" i="6"/>
  <c r="G130" i="6"/>
  <c r="A130" i="6"/>
  <c r="G129" i="6"/>
  <c r="A129" i="6"/>
  <c r="G128" i="6"/>
  <c r="A128" i="6"/>
  <c r="G127" i="6"/>
  <c r="A127" i="6"/>
  <c r="G126" i="6"/>
  <c r="A126" i="6"/>
  <c r="G125" i="6"/>
  <c r="A125" i="6"/>
  <c r="G124" i="6"/>
  <c r="A124" i="6"/>
  <c r="G123" i="6"/>
  <c r="A123" i="6"/>
  <c r="G122" i="6"/>
  <c r="A122" i="6"/>
  <c r="G121" i="6"/>
  <c r="A121" i="6"/>
  <c r="G120" i="6"/>
  <c r="A120" i="6"/>
  <c r="G119" i="6"/>
  <c r="A119" i="6"/>
  <c r="G118" i="6"/>
  <c r="A118" i="6"/>
  <c r="G117" i="6"/>
  <c r="A117" i="6"/>
  <c r="G116" i="6"/>
  <c r="A116" i="6"/>
  <c r="G115" i="6"/>
  <c r="A115" i="6"/>
  <c r="G114" i="6"/>
  <c r="A114" i="6"/>
  <c r="G113" i="6"/>
  <c r="A113" i="6"/>
  <c r="G112" i="6"/>
  <c r="A112" i="6"/>
  <c r="G111" i="6"/>
  <c r="A111" i="6"/>
  <c r="G110" i="6"/>
  <c r="A110" i="6"/>
  <c r="G109" i="6"/>
  <c r="A109" i="6"/>
  <c r="G108" i="6"/>
  <c r="A108" i="6"/>
  <c r="G107" i="6"/>
  <c r="A107" i="6"/>
  <c r="G106" i="6"/>
  <c r="A106" i="6"/>
  <c r="G105" i="6"/>
  <c r="A105" i="6"/>
  <c r="G104" i="6"/>
  <c r="A104" i="6"/>
  <c r="G103" i="6"/>
  <c r="A103" i="6"/>
  <c r="G102" i="6"/>
  <c r="A102" i="6"/>
  <c r="G101" i="6"/>
  <c r="A101" i="6"/>
  <c r="G100" i="6"/>
  <c r="A100" i="6"/>
  <c r="G99" i="6"/>
  <c r="A99" i="6"/>
  <c r="G98" i="6"/>
  <c r="A98" i="6"/>
  <c r="G97" i="6"/>
  <c r="A97" i="6"/>
  <c r="G96" i="6"/>
  <c r="A96" i="6"/>
  <c r="G95" i="6"/>
  <c r="A95" i="6"/>
  <c r="G94" i="6"/>
  <c r="A94" i="6"/>
  <c r="G93" i="6"/>
  <c r="A93" i="6"/>
  <c r="G92" i="6"/>
  <c r="A92" i="6"/>
  <c r="G91" i="6"/>
  <c r="A91" i="6"/>
  <c r="G90" i="6"/>
  <c r="A90" i="6"/>
  <c r="G89" i="6"/>
  <c r="A89" i="6"/>
  <c r="G88" i="6"/>
  <c r="A88" i="6"/>
  <c r="G87" i="6"/>
  <c r="A87" i="6"/>
  <c r="G86" i="6"/>
  <c r="A86" i="6"/>
  <c r="G85" i="6"/>
  <c r="A85" i="6"/>
  <c r="G84" i="6"/>
  <c r="A84" i="6"/>
  <c r="G83" i="6"/>
  <c r="A83" i="6"/>
  <c r="G82" i="6"/>
  <c r="A82" i="6"/>
  <c r="G81" i="6"/>
  <c r="A81" i="6"/>
  <c r="G80" i="6"/>
  <c r="A80" i="6"/>
  <c r="G79" i="6"/>
  <c r="A79" i="6"/>
  <c r="G78" i="6"/>
  <c r="A78" i="6"/>
  <c r="G77" i="6"/>
  <c r="A77" i="6"/>
  <c r="G76" i="6"/>
  <c r="A76" i="6"/>
  <c r="G75" i="6"/>
  <c r="A75" i="6"/>
  <c r="G74" i="6"/>
  <c r="A74" i="6"/>
  <c r="G73" i="6"/>
  <c r="A73" i="6"/>
  <c r="G72" i="6"/>
  <c r="A72" i="6"/>
  <c r="G71" i="6"/>
  <c r="A71" i="6"/>
  <c r="G70" i="6"/>
  <c r="A70" i="6"/>
  <c r="G69" i="6"/>
  <c r="A69" i="6"/>
  <c r="G68" i="6"/>
  <c r="A68" i="6"/>
  <c r="G67" i="6"/>
  <c r="A67" i="6"/>
  <c r="G66" i="6"/>
  <c r="A66" i="6"/>
  <c r="G65" i="6"/>
  <c r="A65" i="6"/>
  <c r="G64" i="6"/>
  <c r="A64" i="6"/>
  <c r="G63" i="6"/>
  <c r="A63" i="6"/>
  <c r="G62" i="6"/>
  <c r="A62" i="6"/>
  <c r="G61" i="6"/>
  <c r="A61" i="6"/>
  <c r="G60" i="6"/>
  <c r="A60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46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J104" i="9" l="1"/>
  <c r="J103" i="9" l="1"/>
  <c r="J102" i="9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 l="1"/>
  <c r="J77" i="9"/>
  <c r="J76" i="9"/>
  <c r="J58" i="9" l="1"/>
  <c r="J62" i="9"/>
  <c r="J66" i="9"/>
  <c r="J68" i="9"/>
  <c r="J74" i="9"/>
  <c r="J72" i="9"/>
  <c r="J64" i="9"/>
  <c r="J60" i="9"/>
  <c r="J56" i="9"/>
  <c r="J52" i="9"/>
  <c r="J75" i="9"/>
  <c r="J73" i="9"/>
  <c r="J71" i="9"/>
  <c r="J70" i="9"/>
  <c r="J69" i="9"/>
  <c r="J67" i="9"/>
  <c r="J65" i="9"/>
  <c r="J63" i="9"/>
  <c r="J61" i="9"/>
  <c r="J59" i="9"/>
  <c r="J57" i="9"/>
  <c r="J55" i="9"/>
  <c r="J54" i="9"/>
  <c r="J53" i="9"/>
  <c r="J51" i="9"/>
  <c r="C27" i="9" l="1"/>
  <c r="J27" i="9" s="1"/>
  <c r="C28" i="9"/>
  <c r="J28" i="9" s="1"/>
  <c r="C29" i="9"/>
  <c r="J29" i="9" s="1"/>
  <c r="C30" i="9"/>
  <c r="J30" i="9" s="1"/>
  <c r="C31" i="9"/>
  <c r="J31" i="9" s="1"/>
  <c r="C32" i="9"/>
  <c r="C33" i="9"/>
  <c r="J33" i="9" s="1"/>
  <c r="C34" i="9"/>
  <c r="J34" i="9" s="1"/>
  <c r="C5" i="9"/>
  <c r="C6" i="9"/>
  <c r="J6" i="9" s="1"/>
  <c r="C7" i="9"/>
  <c r="J7" i="9" s="1"/>
  <c r="C8" i="9"/>
  <c r="J8" i="9" s="1"/>
  <c r="C9" i="9"/>
  <c r="C10" i="9"/>
  <c r="J10" i="9" s="1"/>
  <c r="C11" i="9"/>
  <c r="J11" i="9" s="1"/>
  <c r="C12" i="9"/>
  <c r="J12" i="9" s="1"/>
  <c r="C13" i="9"/>
  <c r="C14" i="9"/>
  <c r="J14" i="9" s="1"/>
  <c r="C15" i="9"/>
  <c r="J15" i="9" s="1"/>
  <c r="C16" i="9"/>
  <c r="J16" i="9" s="1"/>
  <c r="C17" i="9"/>
  <c r="C18" i="9"/>
  <c r="J18" i="9" s="1"/>
  <c r="C19" i="9"/>
  <c r="J19" i="9" s="1"/>
  <c r="C20" i="9"/>
  <c r="J20" i="9" s="1"/>
  <c r="C21" i="9"/>
  <c r="C22" i="9"/>
  <c r="J22" i="9" s="1"/>
  <c r="C23" i="9"/>
  <c r="J23" i="9" s="1"/>
  <c r="C24" i="9"/>
  <c r="J24" i="9" s="1"/>
  <c r="C25" i="9"/>
  <c r="C26" i="9"/>
  <c r="J26" i="9" s="1"/>
  <c r="C35" i="9"/>
  <c r="J35" i="9" s="1"/>
  <c r="C36" i="9"/>
  <c r="J36" i="9" s="1"/>
  <c r="C37" i="9"/>
  <c r="J37" i="9" s="1"/>
  <c r="C38" i="9"/>
  <c r="J38" i="9" s="1"/>
  <c r="C39" i="9"/>
  <c r="J39" i="9" s="1"/>
  <c r="C40" i="9"/>
  <c r="J40" i="9" s="1"/>
  <c r="J32" i="9"/>
  <c r="C41" i="9"/>
  <c r="J41" i="9" s="1"/>
  <c r="C42" i="9"/>
  <c r="J42" i="9" s="1"/>
  <c r="C43" i="9"/>
  <c r="J43" i="9" s="1"/>
  <c r="C44" i="9"/>
  <c r="J44" i="9" s="1"/>
  <c r="C45" i="9"/>
  <c r="J45" i="9" s="1"/>
  <c r="C46" i="9"/>
  <c r="J46" i="9" s="1"/>
  <c r="C47" i="9"/>
  <c r="J47" i="9" s="1"/>
  <c r="C48" i="9"/>
  <c r="J48" i="9" s="1"/>
  <c r="C49" i="9"/>
  <c r="J49" i="9" s="1"/>
  <c r="C50" i="9"/>
  <c r="J50" i="9" s="1"/>
  <c r="C4" i="9"/>
  <c r="J4" i="9" s="1"/>
  <c r="J5" i="9"/>
  <c r="J9" i="9"/>
  <c r="J13" i="9"/>
  <c r="J17" i="9"/>
  <c r="J21" i="9"/>
  <c r="J25" i="9"/>
  <c r="G21" i="6" l="1"/>
  <c r="G5" i="6"/>
  <c r="G30" i="6"/>
  <c r="G14" i="6" l="1"/>
  <c r="G15" i="6"/>
  <c r="G4" i="6"/>
  <c r="G17" i="6"/>
  <c r="G16" i="6"/>
  <c r="G22" i="6"/>
  <c r="G6" i="6"/>
  <c r="G8" i="6"/>
  <c r="G24" i="6"/>
  <c r="G26" i="6"/>
  <c r="G20" i="6"/>
  <c r="G28" i="6"/>
  <c r="G18" i="6"/>
  <c r="G12" i="6"/>
  <c r="G13" i="6"/>
  <c r="G23" i="6"/>
  <c r="G7" i="6"/>
  <c r="G27" i="6"/>
  <c r="G19" i="6"/>
  <c r="G29" i="6"/>
  <c r="G31" i="6"/>
  <c r="G25" i="6"/>
  <c r="G9" i="6"/>
  <c r="G11" i="6"/>
  <c r="G1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3" authorId="0" shapeId="0" xr:uid="{00000000-0006-0000-06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 xml:space="preserve">日常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成就</t>
        </r>
      </text>
    </comment>
  </commentList>
</comments>
</file>

<file path=xl/sharedStrings.xml><?xml version="1.0" encoding="utf-8"?>
<sst xmlns="http://schemas.openxmlformats.org/spreadsheetml/2006/main" count="702" uniqueCount="348">
  <si>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</si>
  <si>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</si>
  <si>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</si>
  <si>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</si>
  <si>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</si>
  <si>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</si>
  <si>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</si>
  <si>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</si>
  <si>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</si>
  <si>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</si>
  <si>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</si>
  <si>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</si>
  <si>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</si>
  <si>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starttime</t>
  </si>
  <si>
    <t>endtime</t>
  </si>
  <si>
    <t>repeat</t>
  </si>
  <si>
    <t>reward</t>
  </si>
  <si>
    <t>int</t>
  </si>
  <si>
    <t>string</t>
  </si>
  <si>
    <t>table</t>
  </si>
  <si>
    <t>活动ID</t>
  </si>
  <si>
    <t>开始时间</t>
  </si>
  <si>
    <t>结束时间</t>
  </si>
  <si>
    <t>可否重复领取</t>
  </si>
  <si>
    <t>奖励</t>
  </si>
  <si>
    <t>2017/01/01&amp;14:25:03</t>
  </si>
  <si>
    <t>2027/01/23&amp;00:00:00</t>
  </si>
  <si>
    <t>drawtype</t>
  </si>
  <si>
    <t>item</t>
  </si>
  <si>
    <t>free</t>
  </si>
  <si>
    <t>大奖类型</t>
  </si>
  <si>
    <t>单次花费</t>
  </si>
  <si>
    <t>每日免费次数</t>
  </si>
  <si>
    <t>item_id</t>
  </si>
  <si>
    <t>item_count</t>
  </si>
  <si>
    <t>item_probability</t>
  </si>
  <si>
    <t>unexport</t>
  </si>
  <si>
    <t>奖励编号</t>
  </si>
  <si>
    <t>道具ID</t>
  </si>
  <si>
    <t>道具数量</t>
  </si>
  <si>
    <t>道具概率</t>
  </si>
  <si>
    <t>列1</t>
  </si>
  <si>
    <t>i002</t>
  </si>
  <si>
    <t>picid</t>
  </si>
  <si>
    <t>背景图，显示在banner中</t>
  </si>
  <si>
    <t>备注</t>
  </si>
  <si>
    <t>active1</t>
  </si>
  <si>
    <t>active3</t>
  </si>
  <si>
    <t>activeid</t>
  </si>
  <si>
    <t>name</t>
  </si>
  <si>
    <t>condition</t>
  </si>
  <si>
    <t>value1</t>
  </si>
  <si>
    <t>value2</t>
  </si>
  <si>
    <t>showtype</t>
  </si>
  <si>
    <t>任务ID</t>
  </si>
  <si>
    <t>所属活动，与active_cfg对应</t>
  </si>
  <si>
    <t>任务名称</t>
  </si>
  <si>
    <t>条件类型，同daily表</t>
  </si>
  <si>
    <t>条件参数</t>
  </si>
  <si>
    <t>条件值</t>
  </si>
  <si>
    <t>物品id和个数</t>
  </si>
  <si>
    <t>是否每日重复</t>
  </si>
  <si>
    <t>显示分类1活动任务，2充值回馈</t>
  </si>
  <si>
    <t>getitem</t>
  </si>
  <si>
    <t>needitem</t>
  </si>
  <si>
    <t>limitcount</t>
  </si>
  <si>
    <t>兑换ID</t>
  </si>
  <si>
    <t>所属活动</t>
  </si>
  <si>
    <t>获得道具</t>
  </si>
  <si>
    <t>需要道具</t>
  </si>
  <si>
    <t>限制数量</t>
  </si>
  <si>
    <t>["i015",1]</t>
  </si>
  <si>
    <t>["i016",1]</t>
  </si>
  <si>
    <t>["i017",1]</t>
  </si>
  <si>
    <t>新手礼包</t>
    <phoneticPr fontId="9" type="noConversion"/>
  </si>
  <si>
    <t>白鹭礼包</t>
    <phoneticPr fontId="9" type="noConversion"/>
  </si>
  <si>
    <t>微信礼包</t>
    <phoneticPr fontId="9" type="noConversion"/>
  </si>
  <si>
    <t>2027/01/23&amp;00:00:00</t>
    <phoneticPr fontId="9" type="noConversion"/>
  </si>
  <si>
    <t>[["i001",1000],["i002",5],["i011",2]]</t>
    <phoneticPr fontId="9" type="noConversion"/>
  </si>
  <si>
    <t>[["i001",5000],["i002",10]]</t>
    <phoneticPr fontId="9" type="noConversion"/>
  </si>
  <si>
    <t>[["i001",5000],["i013",5],["i011",5]]</t>
    <phoneticPr fontId="9" type="noConversion"/>
  </si>
  <si>
    <t>["i001",50000]</t>
    <phoneticPr fontId="9" type="noConversion"/>
  </si>
  <si>
    <t>["i002",50]</t>
    <phoneticPr fontId="9" type="noConversion"/>
  </si>
  <si>
    <t>i015</t>
    <phoneticPr fontId="9" type="noConversion"/>
  </si>
  <si>
    <t>i016</t>
  </si>
  <si>
    <t>i017</t>
  </si>
  <si>
    <t>i213</t>
    <phoneticPr fontId="9" type="noConversion"/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</si>
  <si>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</si>
  <si>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</si>
  <si>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</si>
  <si>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</si>
  <si>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</si>
  <si>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</si>
  <si>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</si>
  <si>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</si>
  <si>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</si>
  <si>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</si>
  <si>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</si>
  <si>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</si>
  <si>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</si>
  <si>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</si>
  <si>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</si>
  <si>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</si>
  <si>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</si>
  <si>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["i011",100]</t>
    <phoneticPr fontId="9" type="noConversion"/>
  </si>
  <si>
    <t>[["i002",200]]</t>
    <phoneticPr fontId="9" type="noConversion"/>
  </si>
  <si>
    <t>名称</t>
    <phoneticPr fontId="13" type="noConversion"/>
  </si>
  <si>
    <t>[["i012",2],["i013",2]]</t>
    <phoneticPr fontId="9" type="noConversion"/>
  </si>
  <si>
    <t>[["i700",2],["i001",10000]]</t>
    <phoneticPr fontId="9" type="noConversion"/>
  </si>
  <si>
    <t>[["i015",5],["i002",100]]</t>
    <phoneticPr fontId="9" type="noConversion"/>
  </si>
  <si>
    <t>[["i012",5],["i002",1]]</t>
    <phoneticPr fontId="9" type="noConversion"/>
  </si>
  <si>
    <t>[["i001",20000],["i002",100]]</t>
    <phoneticPr fontId="9" type="noConversion"/>
  </si>
  <si>
    <t>[["i013",10],["i001",10000]]</t>
    <phoneticPr fontId="9" type="noConversion"/>
  </si>
  <si>
    <t>[["i002",10],["i001",100000]]</t>
    <phoneticPr fontId="9" type="noConversion"/>
  </si>
  <si>
    <t>[["i015",1],["i001",50000]]</t>
    <phoneticPr fontId="9" type="noConversion"/>
  </si>
  <si>
    <t>[["i015",1],["i001",100000]]</t>
    <phoneticPr fontId="9" type="noConversion"/>
  </si>
  <si>
    <t>[["i015",1],["i001",200000]]</t>
    <phoneticPr fontId="9" type="noConversion"/>
  </si>
  <si>
    <t>[["i015",2],["i001",250000]]</t>
    <phoneticPr fontId="9" type="noConversion"/>
  </si>
  <si>
    <t>[["i015",3],["i001",300000]]</t>
    <phoneticPr fontId="9" type="noConversion"/>
  </si>
  <si>
    <t>[["i015",4],["i001",400000]]</t>
    <phoneticPr fontId="9" type="noConversion"/>
  </si>
  <si>
    <t>[["i015",5],["i001",500000]]</t>
    <phoneticPr fontId="9" type="noConversion"/>
  </si>
  <si>
    <t>[["i015",10],["i001",1000000]]</t>
    <phoneticPr fontId="9" type="noConversion"/>
  </si>
  <si>
    <t>[["i015",20],["i001",2000000]]</t>
    <phoneticPr fontId="9" type="noConversion"/>
  </si>
  <si>
    <t>["i012",100]</t>
    <phoneticPr fontId="9" type="noConversion"/>
  </si>
  <si>
    <t>["i013",100]</t>
    <phoneticPr fontId="9" type="noConversion"/>
  </si>
  <si>
    <t>["i002",50]</t>
    <phoneticPr fontId="9" type="noConversion"/>
  </si>
  <si>
    <t>[["i001",250000]]</t>
    <phoneticPr fontId="9" type="noConversion"/>
  </si>
  <si>
    <t>["i011",10]</t>
    <phoneticPr fontId="9" type="noConversion"/>
  </si>
  <si>
    <t>["i012",10]</t>
    <phoneticPr fontId="9" type="noConversion"/>
  </si>
  <si>
    <t>["i013",10]</t>
    <phoneticPr fontId="9" type="noConversion"/>
  </si>
  <si>
    <t>[["i001",30000]]</t>
    <phoneticPr fontId="9" type="noConversion"/>
  </si>
  <si>
    <t>["i501",10]</t>
    <phoneticPr fontId="9" type="noConversion"/>
  </si>
  <si>
    <t>["i502",10]</t>
    <phoneticPr fontId="9" type="noConversion"/>
  </si>
  <si>
    <t>["i503",10]</t>
    <phoneticPr fontId="9" type="noConversion"/>
  </si>
  <si>
    <t>["i504",10]</t>
    <phoneticPr fontId="9" type="noConversion"/>
  </si>
  <si>
    <t>["i505",10]</t>
    <phoneticPr fontId="9" type="noConversion"/>
  </si>
  <si>
    <t>[["i002",50]]</t>
    <phoneticPr fontId="9" type="noConversion"/>
  </si>
  <si>
    <t>notice</t>
    <phoneticPr fontId="9" type="noConversion"/>
  </si>
  <si>
    <t>int</t>
    <phoneticPr fontId="9" type="noConversion"/>
  </si>
  <si>
    <t>是否公告</t>
    <phoneticPr fontId="9" type="noConversion"/>
  </si>
  <si>
    <t>18. 购买x次金币</t>
    <phoneticPr fontId="13" type="noConversion"/>
  </si>
  <si>
    <t>19. 充值x钻石，如果是每日充值参数1填1</t>
    <phoneticPr fontId="13" type="noConversion"/>
  </si>
  <si>
    <t>20. 参与保卫女神x次</t>
    <phoneticPr fontId="13" type="noConversion"/>
  </si>
  <si>
    <t>21. 放养x次鱼</t>
    <phoneticPr fontId="13" type="noConversion"/>
  </si>
  <si>
    <t>22. 保卫女神最高闯过x关</t>
    <phoneticPr fontId="13" type="noConversion"/>
  </si>
  <si>
    <t>23. 宠物鱼总等级x级</t>
    <phoneticPr fontId="13" type="noConversion"/>
  </si>
  <si>
    <t>24. 解锁x个女神</t>
    <phoneticPr fontId="13" type="noConversion"/>
  </si>
  <si>
    <t>25. 在x小游戏中获得y分（0接金币，1河豚）</t>
    <phoneticPr fontId="13" type="noConversion"/>
  </si>
  <si>
    <t>26. 金币大于等于xx,金币排名小于等于x名</t>
    <phoneticPr fontId="13" type="noConversion"/>
  </si>
  <si>
    <t>[["i001",50000],["i002",20]]</t>
    <phoneticPr fontId="9" type="noConversion"/>
  </si>
  <si>
    <t>[["i001",50000],["i011",10]]</t>
    <phoneticPr fontId="9" type="noConversion"/>
  </si>
  <si>
    <t>[["i002",40]]</t>
    <phoneticPr fontId="9" type="noConversion"/>
  </si>
  <si>
    <t>[["i002",120]]</t>
    <phoneticPr fontId="9" type="noConversion"/>
  </si>
  <si>
    <t>name</t>
    <phoneticPr fontId="9" type="noConversion"/>
  </si>
  <si>
    <t>string</t>
    <phoneticPr fontId="9" type="noConversion"/>
  </si>
  <si>
    <t>active_name_1</t>
    <phoneticPr fontId="9" type="noConversion"/>
  </si>
  <si>
    <t>active_name_2</t>
  </si>
  <si>
    <t>active_name_3</t>
  </si>
  <si>
    <t>[["i002",400]]</t>
    <phoneticPr fontId="9" type="noConversion"/>
  </si>
  <si>
    <t>[["i011",5],["i012",5],["i002",400],["i001",400]]</t>
    <phoneticPr fontId="9" type="noConversion"/>
  </si>
  <si>
    <t>2017/09/05&amp;00:00:00</t>
    <phoneticPr fontId="9" type="noConversion"/>
  </si>
  <si>
    <t>27. 排位赛获得最强王者段位</t>
    <phoneticPr fontId="13" type="noConversion"/>
  </si>
  <si>
    <t>28. 排位赛获得x次胜利</t>
    <phoneticPr fontId="13" type="noConversion"/>
  </si>
  <si>
    <t>29. 排位赛段位大于等于x</t>
    <phoneticPr fontId="13" type="noConversion"/>
  </si>
  <si>
    <t>["i300",1]</t>
    <phoneticPr fontId="9" type="noConversion"/>
  </si>
  <si>
    <t>[["i301",10],["i302",10],["i303",10],["i304",10]]</t>
    <phoneticPr fontId="9" type="noConversion"/>
  </si>
  <si>
    <t>[["i302",100],["i001",50000],["i011",10]]</t>
    <phoneticPr fontId="9" type="noConversion"/>
  </si>
  <si>
    <t>[["i303",100],["i002",20],["i012",10]]</t>
    <phoneticPr fontId="9" type="noConversion"/>
  </si>
  <si>
    <t>[["i304",10],["i001",50000]]</t>
    <phoneticPr fontId="9" type="noConversion"/>
  </si>
  <si>
    <t>[["i301",100],["i015",1],["i002",50]]</t>
    <phoneticPr fontId="9" type="noConversion"/>
  </si>
  <si>
    <t>[["i301",10],["i001",2000]]</t>
    <phoneticPr fontId="9" type="noConversion"/>
  </si>
  <si>
    <t>[["i302",10],["i001",2000]]</t>
    <phoneticPr fontId="9" type="noConversion"/>
  </si>
  <si>
    <t>[["i303",10],["i001",2000]]</t>
    <phoneticPr fontId="9" type="noConversion"/>
  </si>
  <si>
    <t>[["i301",100],["i001",20000],["i002",10]]</t>
    <phoneticPr fontId="9" type="noConversion"/>
  </si>
  <si>
    <t>[["i304",20],["i015",1]]</t>
    <phoneticPr fontId="9" type="noConversion"/>
  </si>
  <si>
    <t>[["i304",40],["i015",1]]</t>
    <phoneticPr fontId="9" type="noConversion"/>
  </si>
  <si>
    <t>[["i304",40],["i015",2]]</t>
    <phoneticPr fontId="9" type="noConversion"/>
  </si>
  <si>
    <t>[["i304",80],["i015",3]]</t>
    <phoneticPr fontId="9" type="noConversion"/>
  </si>
  <si>
    <t>[["i304",200],["i015",4]]</t>
    <phoneticPr fontId="9" type="noConversion"/>
  </si>
  <si>
    <t>[["i304",200],["i015",5]]</t>
    <phoneticPr fontId="9" type="noConversion"/>
  </si>
  <si>
    <t>[["i304",400],["i015",10]]</t>
    <phoneticPr fontId="9" type="noConversion"/>
  </si>
  <si>
    <t>[["i304",1000],["i015",20]]</t>
    <phoneticPr fontId="9" type="noConversion"/>
  </si>
  <si>
    <t>[["i301",45]]</t>
    <phoneticPr fontId="9" type="noConversion"/>
  </si>
  <si>
    <t>[["i302",45]]</t>
    <phoneticPr fontId="9" type="noConversion"/>
  </si>
  <si>
    <t>[["i303",45]]</t>
    <phoneticPr fontId="9" type="noConversion"/>
  </si>
  <si>
    <t>["i700",10]</t>
    <phoneticPr fontId="9" type="noConversion"/>
  </si>
  <si>
    <t>[["i301",50]]</t>
    <phoneticPr fontId="9" type="noConversion"/>
  </si>
  <si>
    <t>[["i302",50]]</t>
    <phoneticPr fontId="9" type="noConversion"/>
  </si>
  <si>
    <t>[["i303",50]]</t>
    <phoneticPr fontId="9" type="noConversion"/>
  </si>
  <si>
    <t>["i701",10]</t>
    <phoneticPr fontId="9" type="noConversion"/>
  </si>
  <si>
    <t>["i702",10]</t>
    <phoneticPr fontId="9" type="noConversion"/>
  </si>
  <si>
    <t>["i220",10]</t>
    <phoneticPr fontId="9" type="noConversion"/>
  </si>
  <si>
    <t>["i240",10]</t>
    <phoneticPr fontId="9" type="noConversion"/>
  </si>
  <si>
    <t>["i230",50]</t>
    <phoneticPr fontId="9" type="noConversion"/>
  </si>
  <si>
    <t>["i305",10]</t>
    <phoneticPr fontId="9" type="noConversion"/>
  </si>
  <si>
    <t>[["i301",15]]</t>
    <phoneticPr fontId="9" type="noConversion"/>
  </si>
  <si>
    <t>[["i302",15]]</t>
    <phoneticPr fontId="9" type="noConversion"/>
  </si>
  <si>
    <t>[["i303",15]]</t>
    <phoneticPr fontId="9" type="noConversion"/>
  </si>
  <si>
    <t>[["i002",15]]</t>
    <phoneticPr fontId="9" type="noConversion"/>
  </si>
  <si>
    <t>[["i001",15000]]</t>
    <phoneticPr fontId="9" type="noConversion"/>
  </si>
  <si>
    <t>[["i301",10],["i302",10],["i303",10]]</t>
    <phoneticPr fontId="9" type="noConversion"/>
  </si>
  <si>
    <t>2017/01/23&amp;00:00:00</t>
    <phoneticPr fontId="9" type="noConversion"/>
  </si>
  <si>
    <t>["i001",30000]</t>
    <phoneticPr fontId="9" type="noConversion"/>
  </si>
  <si>
    <t>active2</t>
    <phoneticPr fontId="9" type="noConversion"/>
  </si>
  <si>
    <t>[["i304",1],["i001",10000]]</t>
    <phoneticPr fontId="9" type="noConversion"/>
  </si>
  <si>
    <t>[["i304",10],["i001",50000],["i002",20]]</t>
    <phoneticPr fontId="9" type="noConversion"/>
  </si>
  <si>
    <t>[["i302",100],["i001",50000],["i013",10]]</t>
    <phoneticPr fontId="9" type="noConversion"/>
  </si>
  <si>
    <t>i240</t>
    <phoneticPr fontId="9" type="noConversion"/>
  </si>
  <si>
    <t>i212</t>
    <phoneticPr fontId="9" type="noConversion"/>
  </si>
  <si>
    <t>i211</t>
    <phoneticPr fontId="9" type="noConversion"/>
  </si>
  <si>
    <t>i210</t>
    <phoneticPr fontId="9" type="noConversion"/>
  </si>
  <si>
    <t>i500</t>
    <phoneticPr fontId="9" type="noConversion"/>
  </si>
  <si>
    <t>i214</t>
    <phoneticPr fontId="9" type="noConversion"/>
  </si>
  <si>
    <t>2017/08/26&amp;00:00:00</t>
    <phoneticPr fontId="9" type="noConversion"/>
  </si>
  <si>
    <t>activequest_name_2001</t>
  </si>
  <si>
    <t>activequest_name_2002</t>
  </si>
  <si>
    <t>activequest_name_2003</t>
  </si>
  <si>
    <t>activequest_name_2004</t>
  </si>
  <si>
    <t>activequest_name_2005</t>
  </si>
  <si>
    <t>activequest_name_2006</t>
  </si>
  <si>
    <t>activequest_name_2007</t>
  </si>
  <si>
    <t>activequest_name_2008</t>
  </si>
  <si>
    <t>activequest_name_2009</t>
  </si>
  <si>
    <t>activequest_name_2010</t>
  </si>
  <si>
    <t>activequest_name_2011</t>
  </si>
  <si>
    <t>activequest_name_2012</t>
  </si>
  <si>
    <t>activequest_name_2013</t>
  </si>
  <si>
    <t>activequest_name_2014</t>
  </si>
  <si>
    <t>activequest_name_2015</t>
  </si>
  <si>
    <t>activequest_name_2100</t>
  </si>
  <si>
    <t>activequest_name_2101</t>
  </si>
  <si>
    <t>activequest_name_2102</t>
  </si>
  <si>
    <t>activequest_name_2103</t>
  </si>
  <si>
    <t>activequest_name_2104</t>
  </si>
  <si>
    <t>activequest_name_2105</t>
  </si>
  <si>
    <t>activequest_name_2106</t>
  </si>
  <si>
    <t>activequest_name_2107</t>
  </si>
  <si>
    <t>activequest_name_2108</t>
  </si>
  <si>
    <t>activequest_name_2109</t>
  </si>
  <si>
    <t>2017/10/16&amp;00:00:00</t>
    <phoneticPr fontId="9" type="noConversion"/>
  </si>
  <si>
    <t>[["i311",4],["i315",3],["i001",2000]]</t>
    <phoneticPr fontId="9" type="noConversion"/>
  </si>
  <si>
    <t>[["i311",4],["i312",4],["i001",2000]]</t>
    <phoneticPr fontId="9" type="noConversion"/>
  </si>
  <si>
    <t>[["i313",3],["i315",3],["i001",2000]]</t>
    <phoneticPr fontId="9" type="noConversion"/>
  </si>
  <si>
    <t>[["i312",4],["i315",3],["i001",2000]]</t>
    <phoneticPr fontId="9" type="noConversion"/>
  </si>
  <si>
    <t>[["i310",20],["i314",2],["i001",2000]]</t>
    <phoneticPr fontId="9" type="noConversion"/>
  </si>
  <si>
    <t>[["i310",20],["i313",3],["i001",2000]]</t>
    <phoneticPr fontId="9" type="noConversion"/>
  </si>
  <si>
    <t>[["i310",20],["i311",4],["i001",2000]]</t>
    <phoneticPr fontId="9" type="noConversion"/>
  </si>
  <si>
    <t>[["i312",4],["i315",3],["i001",5000]]</t>
    <phoneticPr fontId="9" type="noConversion"/>
  </si>
  <si>
    <t>[["i310",50],["i314",5],["i001",20000]]</t>
    <phoneticPr fontId="9" type="noConversion"/>
  </si>
  <si>
    <t>[["i311",40],["i313",10],["i001",15000]]</t>
    <phoneticPr fontId="9" type="noConversion"/>
  </si>
  <si>
    <t>[["i310",50],["i311",40],["i001",20000]]</t>
    <phoneticPr fontId="9" type="noConversion"/>
  </si>
  <si>
    <t>[["i312",20],["i314",5],["i001",50000]]</t>
    <phoneticPr fontId="9" type="noConversion"/>
  </si>
  <si>
    <t>[["i311",40],["i312",20],["i001",50000]]</t>
    <phoneticPr fontId="9" type="noConversion"/>
  </si>
  <si>
    <t>[["i313",10],["i314",5],["i001",30000]]</t>
    <phoneticPr fontId="9" type="noConversion"/>
  </si>
  <si>
    <t>activequest_name_2110</t>
  </si>
  <si>
    <t>activequest_name_2111</t>
  </si>
  <si>
    <t>activequest_name_2112</t>
  </si>
  <si>
    <t>[["i310",1000],["i314",250],["w015",1]]</t>
    <phoneticPr fontId="9" type="noConversion"/>
  </si>
  <si>
    <t>[["i310",1000],["i314",250],["i015",20]]</t>
    <phoneticPr fontId="9" type="noConversion"/>
  </si>
  <si>
    <t>[["i310",2000],["i314",500],["i015",40]]</t>
    <phoneticPr fontId="9" type="noConversion"/>
  </si>
  <si>
    <t>["i314",1]</t>
    <phoneticPr fontId="9" type="noConversion"/>
  </si>
  <si>
    <t>["i315",10]</t>
    <phoneticPr fontId="9" type="noConversion"/>
  </si>
  <si>
    <t>["i001",100000]</t>
    <phoneticPr fontId="9" type="noConversion"/>
  </si>
  <si>
    <t>[["i311",1],["i312",1],["i313",1]]</t>
    <phoneticPr fontId="9" type="noConversion"/>
  </si>
  <si>
    <t>[["i001",25000]]</t>
    <phoneticPr fontId="9" type="noConversion"/>
  </si>
  <si>
    <t>["i316",5]</t>
    <phoneticPr fontId="9" type="noConversion"/>
  </si>
  <si>
    <t>["i317",3]</t>
    <phoneticPr fontId="9" type="noConversion"/>
  </si>
  <si>
    <t>["i318",2]</t>
    <phoneticPr fontId="9" type="noConversion"/>
  </si>
  <si>
    <t>["i319",1]</t>
    <phoneticPr fontId="9" type="noConversion"/>
  </si>
  <si>
    <t>["i500",1]</t>
    <phoneticPr fontId="9" type="noConversion"/>
  </si>
  <si>
    <t>[["i001",12000]]</t>
    <phoneticPr fontId="9" type="noConversion"/>
  </si>
  <si>
    <t>["i703",9]</t>
    <phoneticPr fontId="9" type="noConversion"/>
  </si>
  <si>
    <t>[["i002",1000]]</t>
    <phoneticPr fontId="9" type="noConversion"/>
  </si>
  <si>
    <t>[["i002",125]]</t>
    <phoneticPr fontId="9" type="noConversion"/>
  </si>
  <si>
    <t>[["i310",1000],["i314",250],["w014",1]]</t>
    <phoneticPr fontId="9" type="noConversion"/>
  </si>
  <si>
    <t>[["i310",25],["i311",25]]</t>
    <phoneticPr fontId="9" type="noConversion"/>
  </si>
  <si>
    <t>[["i310",10],["i313",10]]</t>
    <phoneticPr fontId="9" type="noConversion"/>
  </si>
  <si>
    <t>[["i310",5],["i314",5]]</t>
    <phoneticPr fontId="9" type="noConversion"/>
  </si>
  <si>
    <t>[["i310",1000]]</t>
    <phoneticPr fontId="9" type="noConversion"/>
  </si>
  <si>
    <t>["i310",100]</t>
    <phoneticPr fontId="9" type="noConversion"/>
  </si>
  <si>
    <t>["i006",100]</t>
    <phoneticPr fontId="9" type="noConversion"/>
  </si>
  <si>
    <t>[["i002",600]]</t>
    <phoneticPr fontId="9" type="noConversion"/>
  </si>
  <si>
    <t>["i240",100]</t>
    <phoneticPr fontId="9" type="noConversion"/>
  </si>
  <si>
    <t>[["i001",300000]]</t>
    <phoneticPr fontId="9" type="noConversion"/>
  </si>
  <si>
    <t>["w015",1]</t>
    <phoneticPr fontId="9" type="noConversion"/>
  </si>
  <si>
    <t>[["i310",20],["i314",5],["i001",20000]]</t>
    <phoneticPr fontId="9" type="noConversion"/>
  </si>
  <si>
    <t>[["i310",20],["i314",5],["i001",40000]]</t>
    <phoneticPr fontId="9" type="noConversion"/>
  </si>
  <si>
    <t>[["i310",40],["i314",10],["i015",1]]</t>
    <phoneticPr fontId="9" type="noConversion"/>
  </si>
  <si>
    <t>[["i310",40],["i314",10],["i015",2]]</t>
    <phoneticPr fontId="9" type="noConversion"/>
  </si>
  <si>
    <t>[["i310",80],["i314",20],["i015",4]]</t>
    <phoneticPr fontId="9" type="noConversion"/>
  </si>
  <si>
    <t>[["i310",200],["i314",50],["i015",6]]</t>
    <phoneticPr fontId="9" type="noConversion"/>
  </si>
  <si>
    <t>[["i310",200],["i314",50],["i015",8]]</t>
    <phoneticPr fontId="9" type="noConversion"/>
  </si>
  <si>
    <t>[["i310",400],["i314",100],["i015",10]]</t>
    <phoneticPr fontId="9" type="noConversion"/>
  </si>
  <si>
    <t>[["i310",15],["i312",15]]</t>
    <phoneticPr fontId="9" type="noConversion"/>
  </si>
  <si>
    <t>[["i002",3999]]</t>
    <phoneticPr fontId="9" type="noConversion"/>
  </si>
  <si>
    <t>2017/09/30&amp;00:00:00</t>
    <phoneticPr fontId="9" type="noConversion"/>
  </si>
  <si>
    <t>active4</t>
    <phoneticPr fontId="9" type="noConversion"/>
  </si>
  <si>
    <t>active_name_4</t>
    <phoneticPr fontId="9" type="noConversion"/>
  </si>
  <si>
    <t>[["i321",2],["i001",2000]]</t>
    <phoneticPr fontId="9" type="noConversion"/>
  </si>
  <si>
    <t>[["i321",1],["i001",2000]]</t>
    <phoneticPr fontId="9" type="noConversion"/>
  </si>
  <si>
    <t>[["i320",1],["i321",10],["i001",20000]]</t>
    <phoneticPr fontId="9" type="noConversion"/>
  </si>
  <si>
    <t>[["i320",5],["i321",10],["i001",20000]]</t>
    <phoneticPr fontId="9" type="noConversion"/>
  </si>
  <si>
    <t>[["i320",5],["i321",10],["i001",40000]]</t>
    <phoneticPr fontId="9" type="noConversion"/>
  </si>
  <si>
    <t>["i212",1]</t>
    <phoneticPr fontId="9" type="noConversion"/>
  </si>
  <si>
    <t>["i321",1]</t>
    <phoneticPr fontId="9" type="noConversion"/>
  </si>
  <si>
    <t>["i320",1]</t>
    <phoneticPr fontId="9" type="noConversion"/>
  </si>
  <si>
    <t>[["i002",10]]</t>
    <phoneticPr fontId="9" type="noConversion"/>
  </si>
  <si>
    <t>[["i321",60]]</t>
    <phoneticPr fontId="9" type="noConversion"/>
  </si>
  <si>
    <t>[["i320",15]]</t>
    <phoneticPr fontId="9" type="noConversion"/>
  </si>
  <si>
    <t>[["i320",5],["i321",20],["i015",1]]</t>
    <phoneticPr fontId="9" type="noConversion"/>
  </si>
  <si>
    <t>[["i320",5],["i321",20],["i015",2]]</t>
    <phoneticPr fontId="9" type="noConversion"/>
  </si>
  <si>
    <t>[["i320",10],["i321",30],["i015",4]]</t>
    <phoneticPr fontId="9" type="noConversion"/>
  </si>
  <si>
    <t>[["i320",25],["i321",50],["i015",6]]</t>
    <phoneticPr fontId="9" type="noConversion"/>
  </si>
  <si>
    <t>[["i320",25],["i321",50],["i015",8]]</t>
    <phoneticPr fontId="9" type="noConversion"/>
  </si>
  <si>
    <t>[["i320",50],["i321",100],["i015",10]]</t>
    <phoneticPr fontId="9" type="noConversion"/>
  </si>
  <si>
    <t>[["i320",100],["i321",250],["i015",20]]</t>
    <phoneticPr fontId="9" type="noConversion"/>
  </si>
  <si>
    <t>[["i320",200],["i321",500],["i015",30]]</t>
    <phoneticPr fontId="9" type="noConversion"/>
  </si>
  <si>
    <t>[["i320",3],["i321",2],["i001",20000]]</t>
    <phoneticPr fontId="9" type="noConversion"/>
  </si>
  <si>
    <t>[["i320",3],["i321",2],["i001",15000]]</t>
    <phoneticPr fontId="9" type="noConversion"/>
  </si>
  <si>
    <t>[["i320",3],["i321",2],["i001",50000]]</t>
    <phoneticPr fontId="9" type="noConversion"/>
  </si>
  <si>
    <t>[["i320",3],["i321",2],["i001",30000]]</t>
    <phoneticPr fontId="9" type="noConversion"/>
  </si>
  <si>
    <t>["i006",1]</t>
    <phoneticPr fontId="9" type="noConversion"/>
  </si>
  <si>
    <t>w515</t>
    <phoneticPr fontId="9" type="noConversion"/>
  </si>
  <si>
    <t>w514</t>
    <phoneticPr fontId="9" type="noConversion"/>
  </si>
  <si>
    <t>w513</t>
    <phoneticPr fontId="9" type="noConversion"/>
  </si>
  <si>
    <t>w512</t>
    <phoneticPr fontId="9" type="noConversion"/>
  </si>
  <si>
    <t>w511</t>
    <phoneticPr fontId="9" type="noConversion"/>
  </si>
  <si>
    <t>w510</t>
    <phoneticPr fontId="9" type="noConversion"/>
  </si>
  <si>
    <t>w509</t>
    <phoneticPr fontId="9" type="noConversion"/>
  </si>
  <si>
    <t>w508</t>
    <phoneticPr fontId="9" type="noConversion"/>
  </si>
  <si>
    <t>w507</t>
    <phoneticPr fontId="9" type="noConversion"/>
  </si>
  <si>
    <t>w506</t>
    <phoneticPr fontId="9" type="noConversion"/>
  </si>
  <si>
    <t>w505</t>
    <phoneticPr fontId="9" type="noConversion"/>
  </si>
  <si>
    <t>w504</t>
    <phoneticPr fontId="9" type="noConversion"/>
  </si>
  <si>
    <t>w503</t>
    <phoneticPr fontId="9" type="noConversion"/>
  </si>
  <si>
    <t>w502</t>
    <phoneticPr fontId="9" type="noConversion"/>
  </si>
  <si>
    <t>w501</t>
    <phoneticPr fontId="9" type="noConversion"/>
  </si>
  <si>
    <t>["i001",5000]</t>
    <phoneticPr fontId="9" type="noConversion"/>
  </si>
  <si>
    <t>i001</t>
    <phoneticPr fontId="9" type="noConversion"/>
  </si>
  <si>
    <t>i002</t>
    <phoneticPr fontId="9" type="noConversion"/>
  </si>
  <si>
    <t>i012</t>
  </si>
  <si>
    <t>i013</t>
  </si>
  <si>
    <t>i011</t>
  </si>
  <si>
    <t>i400</t>
  </si>
  <si>
    <t>i240</t>
  </si>
  <si>
    <t>i006</t>
  </si>
  <si>
    <t>2017/12/29&amp;00:00:00</t>
    <phoneticPr fontId="9" type="noConversion"/>
  </si>
  <si>
    <t>2017/12/20&amp;10:30:00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</si>
</sst>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48">
    <xf numFmtId="0" fontId="0" fillId="0" borderId="0" xfId="0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0" fillId="0" borderId="0" xfId="0">
      <alignment vertical="center"/>
    </xf>
    <xf numFmtId="0" fontId="2" fillId="0" borderId="0" xfId="0" applyFont="1" applyAlignment="1"/>
    <xf numFmtId="0" fontId="3" fillId="0" borderId="0" xfId="0" applyFont="1">
      <alignment vertical="center"/>
    </xf>
    <xf numFmtId="0" fontId="2" fillId="0" borderId="0" xfId="0" applyNumberFormat="1" applyFont="1" applyAlignment="1"/>
    <xf numFmtId="0" fontId="4" fillId="0" borderId="0" xfId="0" applyFont="1" applyAlignment="1">
      <alignment vertical="center"/>
    </xf>
    <xf numFmtId="0" fontId="3" fillId="0" borderId="0" xfId="0" applyFont="1" applyAlignment="1"/>
    <xf numFmtId="49" fontId="1" fillId="2" borderId="4" xfId="1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 vertical="center"/>
    </xf>
    <xf numFmtId="49" fontId="5" fillId="3" borderId="5" xfId="0" applyNumberFormat="1" applyFont="1" applyFill="1" applyBorder="1" applyAlignment="1">
      <alignment horizontal="center" vertical="center"/>
    </xf>
    <xf numFmtId="0" fontId="0" fillId="0" borderId="6" xfId="0" applyFont="1" applyBorder="1">
      <alignment vertical="center"/>
    </xf>
    <xf numFmtId="0" fontId="0" fillId="0" borderId="6" xfId="0" applyBorder="1">
      <alignment vertical="center"/>
    </xf>
    <xf numFmtId="49" fontId="1" fillId="2" borderId="1" xfId="0" applyNumberFormat="1" applyFont="1" applyFill="1" applyBorder="1" applyAlignment="1">
      <alignment horizontal="center"/>
    </xf>
    <xf numFmtId="49" fontId="1" fillId="3" borderId="1" xfId="0" applyNumberFormat="1" applyFont="1" applyFill="1" applyBorder="1" applyAlignment="1">
      <alignment horizontal="center" vertical="center"/>
    </xf>
    <xf numFmtId="0" fontId="4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7" xfId="0" applyNumberFormat="1" applyFont="1" applyFill="1" applyBorder="1" applyAlignment="1">
      <alignment horizontal="center" vertical="center"/>
    </xf>
    <xf numFmtId="0" fontId="10" fillId="0" borderId="0" xfId="0" applyFont="1" applyAlignment="1"/>
    <xf numFmtId="0" fontId="11" fillId="0" borderId="0" xfId="0" applyFont="1" applyAlignment="1"/>
    <xf numFmtId="0" fontId="11" fillId="0" borderId="0" xfId="0" applyFont="1">
      <alignment vertical="center"/>
    </xf>
    <xf numFmtId="0" fontId="0" fillId="0" borderId="0" xfId="0" applyNumberFormat="1" applyAlignment="1"/>
    <xf numFmtId="0" fontId="6" fillId="0" borderId="0" xfId="1" applyNumberFormat="1" applyAlignment="1"/>
    <xf numFmtId="0" fontId="6" fillId="0" borderId="0" xfId="0" applyFont="1">
      <alignment vertical="center"/>
    </xf>
    <xf numFmtId="0" fontId="12" fillId="0" borderId="0" xfId="0" applyFont="1" applyAlignment="1"/>
    <xf numFmtId="49" fontId="1" fillId="2" borderId="1" xfId="1" applyNumberFormat="1" applyFont="1" applyFill="1" applyBorder="1" applyAlignment="1">
      <alignment horizontal="right"/>
    </xf>
    <xf numFmtId="49" fontId="1" fillId="3" borderId="3" xfId="0" applyNumberFormat="1" applyFont="1" applyFill="1" applyBorder="1" applyAlignment="1">
      <alignment horizontal="right" vertical="center"/>
    </xf>
    <xf numFmtId="0" fontId="6" fillId="0" borderId="0" xfId="1" applyAlignment="1"/>
    <xf numFmtId="0" fontId="2" fillId="6" borderId="0" xfId="0" applyNumberFormat="1" applyFont="1" applyFill="1" applyAlignment="1"/>
    <xf numFmtId="0" fontId="2" fillId="6" borderId="0" xfId="0" applyFont="1" applyFill="1" applyAlignment="1"/>
    <xf numFmtId="0" fontId="4" fillId="6" borderId="0" xfId="0" applyFont="1" applyFill="1" applyAlignment="1">
      <alignment vertical="center"/>
    </xf>
    <xf numFmtId="0" fontId="12" fillId="6" borderId="0" xfId="0" applyFont="1" applyFill="1" applyAlignment="1"/>
    <xf numFmtId="0" fontId="3" fillId="6" borderId="0" xfId="0" applyFont="1" applyFill="1" applyAlignment="1"/>
    <xf numFmtId="0" fontId="0" fillId="6" borderId="0" xfId="0" applyFill="1" applyAlignment="1"/>
    <xf numFmtId="0" fontId="0" fillId="6" borderId="0" xfId="0" applyNumberFormat="1" applyFill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2">
    <cellStyle name="常规" xfId="0" builtinId="0"/>
    <cellStyle name="常规 2" xfId="1" xr:uid="{00000000-0005-0000-0000-000001000000}"/>
  </cellStyles>
  <dxfs count="65">
    <dxf>
      <numFmt numFmtId="0" formatCode="General"/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333375</xdr:colOff>
      <xdr:row>1</xdr:row>
      <xdr:rowOff>190500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B8601947-1464-4C76-AE89-4E58BA451F71}"/>
            </a:ext>
          </a:extLst>
        </xdr:cNvPr>
        <xdr:cNvSpPr/>
      </xdr:nvSpPr>
      <xdr:spPr>
        <a:xfrm>
          <a:off x="0" y="0"/>
          <a:ext cx="333375" cy="409575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-&#29289;&#21697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-&#23383;&#31526;&#20018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itemtype_cfg"/>
      <sheetName val="item_cfg"/>
      <sheetName val="mix_cfg"/>
      <sheetName val="item-物品表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strings_cfg"/>
      <sheetName val="翻译"/>
      <sheetName val="string-字符串表"/>
    </sheetNames>
    <sheetDataSet>
      <sheetData sheetId="0"/>
      <sheetData sheetId="1"/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3:F6" totalsRowShown="0">
  <autoFilter ref="A3:F6" xr:uid="{00000000-0009-0000-0100-000003000000}"/>
  <tableColumns count="6">
    <tableColumn id="1" xr3:uid="{00000000-0010-0000-0000-000001000000}" name="活动ID"/>
    <tableColumn id="2" xr3:uid="{00000000-0010-0000-0000-000002000000}" name="开始时间"/>
    <tableColumn id="3" xr3:uid="{00000000-0010-0000-0000-000003000000}" name="结束时间"/>
    <tableColumn id="4" xr3:uid="{00000000-0010-0000-0000-000004000000}" name="可否重复领取"/>
    <tableColumn id="5" xr3:uid="{00000000-0010-0000-0000-000005000000}" name="奖励"/>
    <tableColumn id="6" xr3:uid="{00000000-0010-0000-0000-000006000000}" name="名称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2_3" displayName="表2_3" ref="A3:C20" totalsRowShown="0">
  <autoFilter ref="A3:C20" xr:uid="{00000000-0009-0000-0100-000002000000}"/>
  <tableColumns count="3">
    <tableColumn id="1" xr3:uid="{00000000-0010-0000-0100-000001000000}" name="大奖类型"/>
    <tableColumn id="2" xr3:uid="{00000000-0010-0000-0100-000002000000}" name="单次花费"/>
    <tableColumn id="3" xr3:uid="{00000000-0010-0000-0100-000003000000}" name="每日免费次数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表2" displayName="表2" ref="A3:G241" totalsRowShown="0">
  <autoFilter ref="A3:G241" xr:uid="{00000000-0009-0000-0100-000001000000}"/>
  <sortState ref="A4:G31">
    <sortCondition ref="A13"/>
  </sortState>
  <tableColumns count="7">
    <tableColumn id="1" xr3:uid="{00000000-0010-0000-0200-000001000000}" name="大奖类型"/>
    <tableColumn id="2" xr3:uid="{00000000-0010-0000-0200-000002000000}" name="奖励编号"/>
    <tableColumn id="3" xr3:uid="{00000000-0010-0000-0200-000003000000}" name="道具ID"/>
    <tableColumn id="4" xr3:uid="{00000000-0010-0000-0200-000004000000}" name="道具数量"/>
    <tableColumn id="5" xr3:uid="{00000000-0010-0000-0200-000005000000}" name="道具概率"/>
    <tableColumn id="7" xr3:uid="{00000000-0010-0000-0200-000007000000}" name="是否公告"/>
    <tableColumn id="6" xr3:uid="{00000000-0010-0000-0200-000006000000}" name="列1" dataDxfId="64">
      <calculatedColumnFormula>VLOOKUP(表2[[#This Row],[道具ID]],[1]!表1[#Data],10,FALSE)</calculatedColumnFormula>
    </tableColumn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表2_35" displayName="表2_35" ref="A3:E7" totalsRowShown="0">
  <autoFilter ref="A3:E7" xr:uid="{00000000-0009-0000-0100-000004000000}"/>
  <tableColumns count="5">
    <tableColumn id="1" xr3:uid="{00000000-0010-0000-0300-000001000000}" name="活动ID"/>
    <tableColumn id="2" xr3:uid="{00000000-0010-0000-0300-000002000000}" name="开始时间"/>
    <tableColumn id="3" xr3:uid="{00000000-0010-0000-0300-000003000000}" name="结束时间"/>
    <tableColumn id="4" xr3:uid="{00000000-0010-0000-0300-000004000000}" name="背景图，显示在banner中"/>
    <tableColumn id="5" xr3:uid="{00000000-0010-0000-0300-000005000000}" name="备注" dataDxfId="63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表5" displayName="表5" ref="A3:J104" totalsRowShown="0">
  <autoFilter ref="A3:J104" xr:uid="{00000000-0009-0000-0100-000005000000}"/>
  <tableColumns count="10">
    <tableColumn id="1" xr3:uid="{00000000-0010-0000-0400-000001000000}" name="任务ID"/>
    <tableColumn id="2" xr3:uid="{00000000-0010-0000-0400-000002000000}" name="所属活动，与active_cfg对应"/>
    <tableColumn id="3" xr3:uid="{00000000-0010-0000-0400-000003000000}" name="任务名称">
      <calculatedColumnFormula>"activequest_name_"&amp;表5[[#This Row],[任务ID]]</calculatedColumnFormula>
    </tableColumn>
    <tableColumn id="4" xr3:uid="{00000000-0010-0000-0400-000004000000}" name="条件类型，同daily表"/>
    <tableColumn id="5" xr3:uid="{00000000-0010-0000-0400-000005000000}" name="条件参数"/>
    <tableColumn id="6" xr3:uid="{00000000-0010-0000-0400-000006000000}" name="条件值"/>
    <tableColumn id="7" xr3:uid="{00000000-0010-0000-0400-000007000000}" name="物品id和个数"/>
    <tableColumn id="8" xr3:uid="{00000000-0010-0000-0400-000008000000}" name="是否每日重复"/>
    <tableColumn id="9" xr3:uid="{00000000-0010-0000-0400-000009000000}" name="显示分类1活动任务，2充值回馈"/>
    <tableColumn id="10" xr3:uid="{00000000-0010-0000-0400-00000A000000}" name="名称" dataDxfId="0">
      <calculatedColumnFormula>VLOOKUP(表5[[#This Row],[任务名称]],[2]!表1[#Data],2,FALSE)</calculatedColumnFormula>
    </tableColumn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表6" displayName="表6" ref="A3:F59" totalsRowShown="0">
  <autoFilter ref="A3:F59" xr:uid="{00000000-0009-0000-0100-000006000000}"/>
  <tableColumns count="6">
    <tableColumn id="1" xr3:uid="{00000000-0010-0000-0500-000001000000}" name="兑换ID"/>
    <tableColumn id="2" xr3:uid="{00000000-0010-0000-0500-000002000000}" name="所属活动"/>
    <tableColumn id="3" xr3:uid="{00000000-0010-0000-0500-000003000000}" name="获得道具"/>
    <tableColumn id="4" xr3:uid="{00000000-0010-0000-0500-000004000000}" name="需要道具"/>
    <tableColumn id="5" xr3:uid="{00000000-0010-0000-0500-000005000000}" name="限制数量"/>
    <tableColumn id="6" xr3:uid="{00000000-0010-0000-0500-000006000000}" name="是否每日重复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5"/>
  <sheetViews>
    <sheetView topLeftCell="A7" workbookViewId="0">
      <selection activeCell="B37" sqref="B3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9" t="s">
        <v>0</v>
      </c>
      <c r="B1" t="s">
        <v>1</v>
      </c>
    </row>
    <row r="2" spans="1:2" ht="16.5" x14ac:dyDescent="0.15">
      <c r="A2" s="15" t="s">
        <v>2</v>
      </c>
      <c r="B2" t="s">
        <v>3</v>
      </c>
    </row>
    <row r="3" spans="1:2" ht="16.5" x14ac:dyDescent="0.3">
      <c r="A3" s="22" t="s">
        <v>4</v>
      </c>
      <c r="B3" t="s">
        <v>5</v>
      </c>
    </row>
    <row r="4" spans="1:2" ht="16.5" x14ac:dyDescent="0.15">
      <c r="A4" s="23" t="s">
        <v>6</v>
      </c>
      <c r="B4" t="s">
        <v>7</v>
      </c>
    </row>
    <row r="6" spans="1:2" x14ac:dyDescent="0.15">
      <c r="A6" s="45" t="s">
        <v>8</v>
      </c>
      <c r="B6" s="46"/>
    </row>
    <row r="7" spans="1:2" x14ac:dyDescent="0.15">
      <c r="A7" s="46"/>
      <c r="B7" s="46"/>
    </row>
    <row r="8" spans="1:2" x14ac:dyDescent="0.15">
      <c r="A8" s="46"/>
      <c r="B8" s="46"/>
    </row>
    <row r="9" spans="1:2" x14ac:dyDescent="0.15">
      <c r="A9" s="46"/>
      <c r="B9" s="46"/>
    </row>
    <row r="10" spans="1:2" x14ac:dyDescent="0.15">
      <c r="A10" s="46"/>
      <c r="B10" s="46"/>
    </row>
    <row r="11" spans="1:2" x14ac:dyDescent="0.15">
      <c r="A11" s="46"/>
      <c r="B11" s="46"/>
    </row>
    <row r="12" spans="1:2" x14ac:dyDescent="0.15">
      <c r="A12" s="46"/>
      <c r="B12" s="46"/>
    </row>
    <row r="13" spans="1:2" x14ac:dyDescent="0.15">
      <c r="A13" s="46"/>
      <c r="B13" s="46"/>
    </row>
    <row r="14" spans="1:2" x14ac:dyDescent="0.15">
      <c r="A14" s="46"/>
      <c r="B14" s="46"/>
    </row>
    <row r="15" spans="1:2" x14ac:dyDescent="0.15">
      <c r="A15" s="46"/>
      <c r="B15" s="46"/>
    </row>
    <row r="16" spans="1:2" ht="13.15" customHeight="1" x14ac:dyDescent="0.15">
      <c r="A16" s="46"/>
      <c r="B16" s="46"/>
    </row>
    <row r="17" spans="1:2" ht="4.1500000000000004" customHeight="1" x14ac:dyDescent="0.15">
      <c r="A17" s="46"/>
      <c r="B17" s="46"/>
    </row>
    <row r="18" spans="1:2" hidden="1" x14ac:dyDescent="0.15">
      <c r="A18" s="46"/>
      <c r="B18" s="46"/>
    </row>
    <row r="19" spans="1:2" hidden="1" x14ac:dyDescent="0.15">
      <c r="A19" s="46"/>
      <c r="B19" s="46"/>
    </row>
    <row r="20" spans="1:2" hidden="1" x14ac:dyDescent="0.15">
      <c r="A20" s="46"/>
      <c r="B20" s="46"/>
    </row>
    <row r="21" spans="1:2" ht="22.9" customHeight="1" x14ac:dyDescent="0.15">
      <c r="A21" s="46"/>
      <c r="B21" s="46"/>
    </row>
    <row r="22" spans="1:2" ht="45" customHeight="1" x14ac:dyDescent="0.15">
      <c r="A22" s="46"/>
      <c r="B22" s="46"/>
    </row>
    <row r="23" spans="1:2" ht="51" hidden="1" customHeight="1" x14ac:dyDescent="0.15">
      <c r="A23" s="46"/>
      <c r="B23" s="46"/>
    </row>
    <row r="24" spans="1:2" x14ac:dyDescent="0.15">
      <c r="A24" s="47" t="s">
        <v>9</v>
      </c>
      <c r="B24" s="47"/>
    </row>
    <row r="25" spans="1:2" x14ac:dyDescent="0.15">
      <c r="A25" s="47" t="s">
        <v>10</v>
      </c>
      <c r="B25" s="47"/>
    </row>
    <row r="26" spans="1:2" x14ac:dyDescent="0.15">
      <c r="A26" s="47" t="s">
        <v>11</v>
      </c>
      <c r="B26" s="47"/>
    </row>
    <row r="27" spans="1:2" x14ac:dyDescent="0.15">
      <c r="A27" s="27"/>
      <c r="B27" s="28" t="s">
        <v>87</v>
      </c>
    </row>
    <row r="28" spans="1:2" x14ac:dyDescent="0.15">
      <c r="A28" s="27"/>
      <c r="B28" s="28" t="s">
        <v>88</v>
      </c>
    </row>
    <row r="29" spans="1:2" x14ac:dyDescent="0.15">
      <c r="A29" s="27"/>
      <c r="B29" s="28" t="s">
        <v>89</v>
      </c>
    </row>
    <row r="30" spans="1:2" x14ac:dyDescent="0.15">
      <c r="A30" s="27"/>
      <c r="B30" s="28" t="s">
        <v>90</v>
      </c>
    </row>
    <row r="31" spans="1:2" x14ac:dyDescent="0.15">
      <c r="A31" s="27"/>
      <c r="B31" s="28" t="s">
        <v>91</v>
      </c>
    </row>
    <row r="32" spans="1:2" x14ac:dyDescent="0.15">
      <c r="A32" s="27"/>
      <c r="B32" s="28" t="s">
        <v>92</v>
      </c>
    </row>
    <row r="33" spans="1:2" x14ac:dyDescent="0.15">
      <c r="A33" s="27"/>
      <c r="B33" s="28" t="s">
        <v>93</v>
      </c>
    </row>
    <row r="34" spans="1:2" x14ac:dyDescent="0.15">
      <c r="A34" s="27"/>
      <c r="B34" s="28" t="s">
        <v>94</v>
      </c>
    </row>
    <row r="35" spans="1:2" x14ac:dyDescent="0.15">
      <c r="A35" s="27"/>
      <c r="B35" s="28" t="s">
        <v>95</v>
      </c>
    </row>
    <row r="36" spans="1:2" x14ac:dyDescent="0.15">
      <c r="A36" s="27"/>
      <c r="B36" s="28" t="s">
        <v>96</v>
      </c>
    </row>
    <row r="37" spans="1:2" x14ac:dyDescent="0.15">
      <c r="A37" s="27"/>
      <c r="B37" s="28" t="s">
        <v>97</v>
      </c>
    </row>
    <row r="38" spans="1:2" x14ac:dyDescent="0.15">
      <c r="A38" s="27"/>
      <c r="B38" s="28" t="s">
        <v>98</v>
      </c>
    </row>
    <row r="39" spans="1:2" x14ac:dyDescent="0.15">
      <c r="A39" s="27"/>
      <c r="B39" s="28" t="s">
        <v>99</v>
      </c>
    </row>
    <row r="40" spans="1:2" x14ac:dyDescent="0.15">
      <c r="A40" s="27"/>
      <c r="B40" s="28" t="s">
        <v>100</v>
      </c>
    </row>
    <row r="41" spans="1:2" x14ac:dyDescent="0.15">
      <c r="A41" s="27"/>
      <c r="B41" s="28" t="s">
        <v>101</v>
      </c>
    </row>
    <row r="42" spans="1:2" x14ac:dyDescent="0.15">
      <c r="A42" s="27"/>
      <c r="B42" s="28" t="s">
        <v>102</v>
      </c>
    </row>
    <row r="43" spans="1:2" x14ac:dyDescent="0.15">
      <c r="A43" s="27"/>
      <c r="B43" s="28" t="s">
        <v>103</v>
      </c>
    </row>
    <row r="44" spans="1:2" x14ac:dyDescent="0.15">
      <c r="A44" s="27"/>
      <c r="B44" s="28" t="s">
        <v>140</v>
      </c>
    </row>
    <row r="45" spans="1:2" x14ac:dyDescent="0.15">
      <c r="A45" s="27"/>
      <c r="B45" s="28" t="s">
        <v>141</v>
      </c>
    </row>
    <row r="46" spans="1:2" x14ac:dyDescent="0.15">
      <c r="B46" s="28" t="s">
        <v>142</v>
      </c>
    </row>
    <row r="47" spans="1:2" x14ac:dyDescent="0.15">
      <c r="B47" s="28" t="s">
        <v>143</v>
      </c>
    </row>
    <row r="48" spans="1:2" x14ac:dyDescent="0.15">
      <c r="B48" s="28" t="s">
        <v>144</v>
      </c>
    </row>
    <row r="49" spans="2:2" x14ac:dyDescent="0.15">
      <c r="B49" s="28" t="s">
        <v>145</v>
      </c>
    </row>
    <row r="50" spans="2:2" x14ac:dyDescent="0.15">
      <c r="B50" s="28" t="s">
        <v>146</v>
      </c>
    </row>
    <row r="51" spans="2:2" x14ac:dyDescent="0.15">
      <c r="B51" s="28" t="s">
        <v>147</v>
      </c>
    </row>
    <row r="52" spans="2:2" x14ac:dyDescent="0.15">
      <c r="B52" s="33" t="s">
        <v>148</v>
      </c>
    </row>
    <row r="53" spans="2:2" x14ac:dyDescent="0.15">
      <c r="B53" s="33" t="s">
        <v>161</v>
      </c>
    </row>
    <row r="54" spans="2:2" x14ac:dyDescent="0.15">
      <c r="B54" s="33" t="s">
        <v>162</v>
      </c>
    </row>
    <row r="55" spans="2:2" x14ac:dyDescent="0.15">
      <c r="B55" s="33" t="s">
        <v>163</v>
      </c>
    </row>
  </sheetData>
  <mergeCells count="4">
    <mergeCell ref="A6:B23"/>
    <mergeCell ref="A24:B24"/>
    <mergeCell ref="A25:B25"/>
    <mergeCell ref="A26:B26"/>
  </mergeCells>
  <phoneticPr fontId="9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6"/>
  <sheetViews>
    <sheetView workbookViewId="0">
      <selection activeCell="E47" sqref="E47"/>
    </sheetView>
  </sheetViews>
  <sheetFormatPr defaultColWidth="9" defaultRowHeight="13.5" x14ac:dyDescent="0.15"/>
  <cols>
    <col min="1" max="1" width="9" customWidth="1"/>
    <col min="2" max="3" width="19" customWidth="1"/>
    <col min="4" max="4" width="14.25" customWidth="1"/>
    <col min="5" max="5" width="96" customWidth="1"/>
    <col min="6" max="6" width="17.375" customWidth="1"/>
  </cols>
  <sheetData>
    <row r="1" spans="1:6" ht="17.25" x14ac:dyDescent="0.35">
      <c r="A1" s="19" t="s">
        <v>12</v>
      </c>
      <c r="B1" s="19" t="s">
        <v>13</v>
      </c>
      <c r="C1" s="19" t="s">
        <v>14</v>
      </c>
      <c r="D1" s="19" t="s">
        <v>15</v>
      </c>
      <c r="E1" s="19" t="s">
        <v>16</v>
      </c>
      <c r="F1" s="14" t="s">
        <v>36</v>
      </c>
    </row>
    <row r="2" spans="1:6" ht="16.5" x14ac:dyDescent="0.15">
      <c r="A2" s="20" t="s">
        <v>17</v>
      </c>
      <c r="B2" s="20" t="s">
        <v>18</v>
      </c>
      <c r="C2" s="20" t="s">
        <v>18</v>
      </c>
      <c r="D2" s="20" t="s">
        <v>17</v>
      </c>
      <c r="E2" s="20" t="s">
        <v>19</v>
      </c>
      <c r="F2" s="16" t="s">
        <v>36</v>
      </c>
    </row>
    <row r="3" spans="1:6" x14ac:dyDescent="0.15">
      <c r="A3" s="21" t="s">
        <v>20</v>
      </c>
      <c r="B3" s="21" t="s">
        <v>21</v>
      </c>
      <c r="C3" s="21" t="s">
        <v>22</v>
      </c>
      <c r="D3" s="21" t="s">
        <v>23</v>
      </c>
      <c r="E3" s="21" t="s">
        <v>24</v>
      </c>
      <c r="F3" t="s">
        <v>106</v>
      </c>
    </row>
    <row r="4" spans="1:6" x14ac:dyDescent="0.15">
      <c r="A4" s="24">
        <v>20170226</v>
      </c>
      <c r="B4" s="24" t="s">
        <v>25</v>
      </c>
      <c r="C4" s="24" t="s">
        <v>26</v>
      </c>
      <c r="D4" s="24">
        <v>0</v>
      </c>
      <c r="E4" s="24" t="s">
        <v>80</v>
      </c>
      <c r="F4" s="24" t="s">
        <v>76</v>
      </c>
    </row>
    <row r="5" spans="1:6" x14ac:dyDescent="0.15">
      <c r="A5" s="21">
        <v>20170228</v>
      </c>
      <c r="B5" s="21" t="s">
        <v>25</v>
      </c>
      <c r="C5" s="24" t="s">
        <v>77</v>
      </c>
      <c r="D5" s="21">
        <v>0</v>
      </c>
      <c r="E5" s="25" t="s">
        <v>78</v>
      </c>
      <c r="F5" s="24" t="s">
        <v>74</v>
      </c>
    </row>
    <row r="6" spans="1:6" x14ac:dyDescent="0.15">
      <c r="A6" s="21">
        <v>20170325</v>
      </c>
      <c r="B6" s="21" t="s">
        <v>25</v>
      </c>
      <c r="C6" s="21" t="s">
        <v>26</v>
      </c>
      <c r="D6" s="21">
        <v>0</v>
      </c>
      <c r="E6" s="25" t="s">
        <v>79</v>
      </c>
      <c r="F6" s="24" t="s">
        <v>75</v>
      </c>
    </row>
  </sheetData>
  <phoneticPr fontId="9" type="noConversion"/>
  <dataValidations count="1">
    <dataValidation allowBlank="1" showInputMessage="1" showErrorMessage="1" promptTitle="0不重复" prompt="1重复" sqref="D3" xr:uid="{00000000-0002-0000-0100-000000000000}"/>
  </dataValidations>
  <pageMargins left="0.69930555555555596" right="0.69930555555555596" top="0.75" bottom="0.75" header="0.3" footer="0.3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0"/>
  <sheetViews>
    <sheetView workbookViewId="0">
      <selection activeCell="C5" sqref="C5"/>
    </sheetView>
  </sheetViews>
  <sheetFormatPr defaultColWidth="9" defaultRowHeight="13.5" x14ac:dyDescent="0.15"/>
  <cols>
    <col min="1" max="1" width="12.625" customWidth="1"/>
    <col min="2" max="2" width="17.25" customWidth="1"/>
    <col min="3" max="3" width="16.125" customWidth="1"/>
  </cols>
  <sheetData>
    <row r="1" spans="1:3" ht="16.5" x14ac:dyDescent="0.3">
      <c r="A1" s="1" t="s">
        <v>27</v>
      </c>
      <c r="B1" s="1" t="s">
        <v>28</v>
      </c>
      <c r="C1" s="1" t="s">
        <v>29</v>
      </c>
    </row>
    <row r="2" spans="1:3" ht="16.5" x14ac:dyDescent="0.15">
      <c r="A2" s="15" t="s">
        <v>17</v>
      </c>
      <c r="B2" s="15" t="s">
        <v>19</v>
      </c>
      <c r="C2" s="15" t="s">
        <v>17</v>
      </c>
    </row>
    <row r="3" spans="1:3" x14ac:dyDescent="0.15">
      <c r="A3" s="4" t="s">
        <v>30</v>
      </c>
      <c r="B3" s="4" t="s">
        <v>31</v>
      </c>
      <c r="C3" s="4" t="s">
        <v>32</v>
      </c>
    </row>
    <row r="4" spans="1:3" x14ac:dyDescent="0.15">
      <c r="A4" s="6">
        <v>1</v>
      </c>
      <c r="B4" s="29" t="s">
        <v>337</v>
      </c>
      <c r="C4" s="8">
        <v>0</v>
      </c>
    </row>
    <row r="5" spans="1:3" x14ac:dyDescent="0.15">
      <c r="A5" s="6">
        <v>2</v>
      </c>
      <c r="B5" s="26" t="s">
        <v>82</v>
      </c>
      <c r="C5" s="8">
        <v>1</v>
      </c>
    </row>
    <row r="6" spans="1:3" x14ac:dyDescent="0.15">
      <c r="A6">
        <v>101</v>
      </c>
      <c r="B6" s="29" t="s">
        <v>321</v>
      </c>
      <c r="C6">
        <v>1</v>
      </c>
    </row>
    <row r="7" spans="1:3" x14ac:dyDescent="0.15">
      <c r="A7">
        <v>102</v>
      </c>
      <c r="B7" s="29" t="s">
        <v>321</v>
      </c>
      <c r="C7">
        <v>1</v>
      </c>
    </row>
    <row r="8" spans="1:3" x14ac:dyDescent="0.15">
      <c r="A8">
        <v>103</v>
      </c>
      <c r="B8" s="29" t="s">
        <v>321</v>
      </c>
      <c r="C8">
        <v>1</v>
      </c>
    </row>
    <row r="9" spans="1:3" x14ac:dyDescent="0.15">
      <c r="A9">
        <v>104</v>
      </c>
      <c r="B9" s="29" t="s">
        <v>321</v>
      </c>
      <c r="C9">
        <v>1</v>
      </c>
    </row>
    <row r="10" spans="1:3" x14ac:dyDescent="0.15">
      <c r="A10">
        <v>105</v>
      </c>
      <c r="B10" s="29" t="s">
        <v>321</v>
      </c>
      <c r="C10">
        <v>1</v>
      </c>
    </row>
    <row r="11" spans="1:3" x14ac:dyDescent="0.15">
      <c r="A11">
        <v>106</v>
      </c>
      <c r="B11" s="29" t="s">
        <v>321</v>
      </c>
      <c r="C11">
        <v>1</v>
      </c>
    </row>
    <row r="12" spans="1:3" x14ac:dyDescent="0.15">
      <c r="A12">
        <v>107</v>
      </c>
      <c r="B12" s="29" t="s">
        <v>321</v>
      </c>
      <c r="C12">
        <v>1</v>
      </c>
    </row>
    <row r="13" spans="1:3" x14ac:dyDescent="0.15">
      <c r="A13">
        <v>108</v>
      </c>
      <c r="B13" s="29" t="s">
        <v>321</v>
      </c>
      <c r="C13">
        <v>1</v>
      </c>
    </row>
    <row r="14" spans="1:3" x14ac:dyDescent="0.15">
      <c r="A14">
        <v>109</v>
      </c>
      <c r="B14" s="29" t="s">
        <v>321</v>
      </c>
      <c r="C14">
        <v>1</v>
      </c>
    </row>
    <row r="15" spans="1:3" x14ac:dyDescent="0.15">
      <c r="A15">
        <v>110</v>
      </c>
      <c r="B15" s="29" t="s">
        <v>321</v>
      </c>
      <c r="C15">
        <v>1</v>
      </c>
    </row>
    <row r="16" spans="1:3" x14ac:dyDescent="0.15">
      <c r="A16">
        <v>111</v>
      </c>
      <c r="B16" s="29" t="s">
        <v>321</v>
      </c>
      <c r="C16">
        <v>1</v>
      </c>
    </row>
    <row r="17" spans="1:3" x14ac:dyDescent="0.15">
      <c r="A17">
        <v>112</v>
      </c>
      <c r="B17" s="29" t="s">
        <v>321</v>
      </c>
      <c r="C17">
        <v>1</v>
      </c>
    </row>
    <row r="18" spans="1:3" x14ac:dyDescent="0.15">
      <c r="A18">
        <v>113</v>
      </c>
      <c r="B18" s="29" t="s">
        <v>321</v>
      </c>
      <c r="C18">
        <v>1</v>
      </c>
    </row>
    <row r="19" spans="1:3" x14ac:dyDescent="0.15">
      <c r="A19">
        <v>114</v>
      </c>
      <c r="B19" s="29" t="s">
        <v>321</v>
      </c>
      <c r="C19">
        <v>1</v>
      </c>
    </row>
    <row r="20" spans="1:3" x14ac:dyDescent="0.15">
      <c r="A20">
        <v>115</v>
      </c>
      <c r="B20" s="29" t="s">
        <v>321</v>
      </c>
      <c r="C20">
        <v>1</v>
      </c>
    </row>
  </sheetData>
  <phoneticPr fontId="9" type="noConversion"/>
  <pageMargins left="0.69930555555555596" right="0.69930555555555596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41"/>
  <sheetViews>
    <sheetView workbookViewId="0">
      <selection activeCell="C13" sqref="C13"/>
    </sheetView>
  </sheetViews>
  <sheetFormatPr defaultColWidth="9" defaultRowHeight="13.5" x14ac:dyDescent="0.15"/>
  <cols>
    <col min="1" max="1" width="12.625" customWidth="1"/>
    <col min="2" max="2" width="14.875" customWidth="1"/>
    <col min="3" max="3" width="10.25" customWidth="1"/>
    <col min="4" max="4" width="12.125" customWidth="1"/>
    <col min="5" max="6" width="17.5" customWidth="1"/>
    <col min="7" max="7" width="12.25" customWidth="1"/>
  </cols>
  <sheetData>
    <row r="1" spans="1:7" ht="17.25" x14ac:dyDescent="0.35">
      <c r="A1" s="1" t="s">
        <v>27</v>
      </c>
      <c r="B1" s="1" t="s">
        <v>28</v>
      </c>
      <c r="C1" s="1" t="s">
        <v>33</v>
      </c>
      <c r="D1" s="1" t="s">
        <v>34</v>
      </c>
      <c r="E1" s="1" t="s">
        <v>35</v>
      </c>
      <c r="F1" s="1" t="s">
        <v>137</v>
      </c>
      <c r="G1" s="14" t="s">
        <v>36</v>
      </c>
    </row>
    <row r="2" spans="1:7" ht="16.5" x14ac:dyDescent="0.15">
      <c r="A2" s="15" t="s">
        <v>17</v>
      </c>
      <c r="B2" s="15" t="s">
        <v>17</v>
      </c>
      <c r="C2" s="15" t="s">
        <v>18</v>
      </c>
      <c r="D2" s="15" t="s">
        <v>17</v>
      </c>
      <c r="E2" s="15" t="s">
        <v>17</v>
      </c>
      <c r="F2" s="15" t="s">
        <v>138</v>
      </c>
      <c r="G2" s="16" t="s">
        <v>36</v>
      </c>
    </row>
    <row r="3" spans="1:7" x14ac:dyDescent="0.15">
      <c r="A3" s="4" t="s">
        <v>30</v>
      </c>
      <c r="B3" s="4" t="s">
        <v>37</v>
      </c>
      <c r="C3" s="6" t="s">
        <v>38</v>
      </c>
      <c r="D3" s="6" t="s">
        <v>39</v>
      </c>
      <c r="E3" s="6" t="s">
        <v>40</v>
      </c>
      <c r="F3" s="29" t="s">
        <v>139</v>
      </c>
      <c r="G3" s="18" t="s">
        <v>41</v>
      </c>
    </row>
    <row r="4" spans="1:7" x14ac:dyDescent="0.15">
      <c r="A4" s="6">
        <v>1</v>
      </c>
      <c r="B4" s="6">
        <v>1</v>
      </c>
      <c r="C4" s="11" t="s">
        <v>338</v>
      </c>
      <c r="D4">
        <v>100000</v>
      </c>
      <c r="E4">
        <v>100</v>
      </c>
      <c r="F4" s="6">
        <v>1</v>
      </c>
      <c r="G4" s="6">
        <f>VLOOKUP(表2[[#This Row],[道具ID]],[1]!表1[#Data],10,FALSE)</f>
        <v>0</v>
      </c>
    </row>
    <row r="5" spans="1:7" x14ac:dyDescent="0.15">
      <c r="A5" s="6">
        <v>1</v>
      </c>
      <c r="B5" s="6">
        <v>2</v>
      </c>
      <c r="C5" s="11" t="s">
        <v>338</v>
      </c>
      <c r="D5">
        <v>10000</v>
      </c>
      <c r="E5">
        <v>3700</v>
      </c>
      <c r="F5">
        <v>0</v>
      </c>
      <c r="G5" s="6">
        <f>VLOOKUP(表2[[#This Row],[道具ID]],[1]!表1[#Data],10,FALSE)</f>
        <v>0</v>
      </c>
    </row>
    <row r="6" spans="1:7" x14ac:dyDescent="0.15">
      <c r="A6" s="6">
        <v>1</v>
      </c>
      <c r="B6" s="6">
        <v>3</v>
      </c>
      <c r="C6" s="11" t="s">
        <v>338</v>
      </c>
      <c r="D6">
        <v>1000</v>
      </c>
      <c r="E6">
        <v>13000</v>
      </c>
      <c r="F6">
        <v>0</v>
      </c>
      <c r="G6" s="6">
        <f>VLOOKUP(表2[[#This Row],[道具ID]],[1]!表1[#Data],10,FALSE)</f>
        <v>0</v>
      </c>
    </row>
    <row r="7" spans="1:7" x14ac:dyDescent="0.15">
      <c r="A7" s="6">
        <v>1</v>
      </c>
      <c r="B7" s="6">
        <v>4</v>
      </c>
      <c r="C7" s="8" t="s">
        <v>211</v>
      </c>
      <c r="D7">
        <v>1</v>
      </c>
      <c r="E7">
        <v>13000</v>
      </c>
      <c r="F7" s="6">
        <v>0</v>
      </c>
      <c r="G7" s="6">
        <f>VLOOKUP(表2[[#This Row],[道具ID]],[1]!表1[#Data],10,FALSE)</f>
        <v>0</v>
      </c>
    </row>
    <row r="8" spans="1:7" x14ac:dyDescent="0.15">
      <c r="A8" s="6">
        <v>1</v>
      </c>
      <c r="B8" s="6">
        <v>5</v>
      </c>
      <c r="C8" s="8" t="s">
        <v>339</v>
      </c>
      <c r="D8">
        <v>10</v>
      </c>
      <c r="E8">
        <v>15000</v>
      </c>
      <c r="F8">
        <v>0</v>
      </c>
      <c r="G8" s="6">
        <f>VLOOKUP(表2[[#This Row],[道具ID]],[1]!表1[#Data],10,FALSE)</f>
        <v>0</v>
      </c>
    </row>
    <row r="9" spans="1:7" x14ac:dyDescent="0.15">
      <c r="A9" s="6">
        <v>1</v>
      </c>
      <c r="B9" s="6">
        <v>6</v>
      </c>
      <c r="C9" s="8" t="s">
        <v>83</v>
      </c>
      <c r="D9">
        <v>1</v>
      </c>
      <c r="E9">
        <v>4000</v>
      </c>
      <c r="F9">
        <v>1</v>
      </c>
      <c r="G9" s="6">
        <f>VLOOKUP(表2[[#This Row],[道具ID]],[1]!表1[#Data],10,FALSE)</f>
        <v>0</v>
      </c>
    </row>
    <row r="10" spans="1:7" x14ac:dyDescent="0.15">
      <c r="A10" s="6">
        <v>1</v>
      </c>
      <c r="B10" s="6">
        <v>7</v>
      </c>
      <c r="C10" s="8" t="s">
        <v>339</v>
      </c>
      <c r="D10">
        <v>10</v>
      </c>
      <c r="E10">
        <v>16000</v>
      </c>
      <c r="F10">
        <v>0</v>
      </c>
      <c r="G10" s="6">
        <f>VLOOKUP(表2[[#This Row],[道具ID]],[1]!表1[#Data],10,FALSE)</f>
        <v>0</v>
      </c>
    </row>
    <row r="11" spans="1:7" x14ac:dyDescent="0.15">
      <c r="A11" s="6">
        <v>1</v>
      </c>
      <c r="B11" s="6">
        <v>8</v>
      </c>
      <c r="C11" s="8" t="s">
        <v>207</v>
      </c>
      <c r="D11">
        <v>10</v>
      </c>
      <c r="E11">
        <v>18379</v>
      </c>
      <c r="F11" s="6">
        <v>0</v>
      </c>
      <c r="G11" s="6">
        <f>VLOOKUP(表2[[#This Row],[道具ID]],[1]!表1[#Data],10,FALSE)</f>
        <v>0</v>
      </c>
    </row>
    <row r="12" spans="1:7" x14ac:dyDescent="0.15">
      <c r="A12" s="6">
        <v>1</v>
      </c>
      <c r="B12" s="6">
        <v>9</v>
      </c>
      <c r="C12" s="11" t="s">
        <v>338</v>
      </c>
      <c r="D12">
        <v>1000</v>
      </c>
      <c r="E12">
        <v>13000</v>
      </c>
      <c r="F12" s="6">
        <v>0</v>
      </c>
      <c r="G12" s="6">
        <f>VLOOKUP(表2[[#This Row],[道具ID]],[1]!表1[#Data],10,FALSE)</f>
        <v>0</v>
      </c>
    </row>
    <row r="13" spans="1:7" x14ac:dyDescent="0.15">
      <c r="A13" s="6">
        <v>1</v>
      </c>
      <c r="B13" s="6">
        <v>10</v>
      </c>
      <c r="C13" s="11" t="s">
        <v>338</v>
      </c>
      <c r="D13">
        <v>10000</v>
      </c>
      <c r="E13">
        <v>3700</v>
      </c>
      <c r="F13">
        <v>0</v>
      </c>
      <c r="G13" s="6">
        <f>VLOOKUP(表2[[#This Row],[道具ID]],[1]!表1[#Data],10,FALSE)</f>
        <v>0</v>
      </c>
    </row>
    <row r="14" spans="1:7" x14ac:dyDescent="0.15">
      <c r="A14" s="6">
        <v>1</v>
      </c>
      <c r="B14" s="6">
        <v>11</v>
      </c>
      <c r="C14" s="11" t="s">
        <v>338</v>
      </c>
      <c r="D14">
        <v>100000</v>
      </c>
      <c r="E14">
        <v>100</v>
      </c>
      <c r="F14">
        <v>1</v>
      </c>
      <c r="G14" s="6">
        <f>VLOOKUP(表2[[#This Row],[道具ID]],[1]!表1[#Data],10,FALSE)</f>
        <v>0</v>
      </c>
    </row>
    <row r="15" spans="1:7" x14ac:dyDescent="0.15">
      <c r="A15" s="6">
        <v>1</v>
      </c>
      <c r="B15" s="6">
        <v>12</v>
      </c>
      <c r="C15" s="11" t="s">
        <v>338</v>
      </c>
      <c r="D15">
        <v>1000000</v>
      </c>
      <c r="E15">
        <v>10</v>
      </c>
      <c r="F15" s="6">
        <v>1</v>
      </c>
      <c r="G15" s="6">
        <f>VLOOKUP(表2[[#This Row],[道具ID]],[1]!表1[#Data],10,FALSE)</f>
        <v>0</v>
      </c>
    </row>
    <row r="16" spans="1:7" x14ac:dyDescent="0.15">
      <c r="A16" s="6">
        <v>1</v>
      </c>
      <c r="B16" s="6">
        <v>13</v>
      </c>
      <c r="C16" s="11" t="s">
        <v>338</v>
      </c>
      <c r="D16">
        <v>10000000</v>
      </c>
      <c r="E16">
        <v>1</v>
      </c>
      <c r="F16">
        <v>1</v>
      </c>
      <c r="G16" s="6">
        <f>VLOOKUP(表2[[#This Row],[道具ID]],[1]!表1[#Data],10,FALSE)</f>
        <v>0</v>
      </c>
    </row>
    <row r="17" spans="1:7" x14ac:dyDescent="0.15">
      <c r="A17" s="6">
        <v>1</v>
      </c>
      <c r="B17" s="6">
        <v>14</v>
      </c>
      <c r="C17" s="11" t="s">
        <v>338</v>
      </c>
      <c r="D17">
        <v>1000000</v>
      </c>
      <c r="E17">
        <v>10</v>
      </c>
      <c r="F17" s="6">
        <v>1</v>
      </c>
      <c r="G17" s="6">
        <f>VLOOKUP(表2[[#This Row],[道具ID]],[1]!表1[#Data],10,FALSE)</f>
        <v>0</v>
      </c>
    </row>
    <row r="18" spans="1:7" x14ac:dyDescent="0.15">
      <c r="A18" s="6">
        <v>2</v>
      </c>
      <c r="B18" s="6">
        <v>1</v>
      </c>
      <c r="C18" t="s">
        <v>342</v>
      </c>
      <c r="D18">
        <v>1</v>
      </c>
      <c r="E18">
        <v>11000</v>
      </c>
      <c r="F18">
        <v>0</v>
      </c>
      <c r="G18" s="6">
        <f>VLOOKUP(表2[[#This Row],[道具ID]],[1]!表1[#Data],10,FALSE)</f>
        <v>0</v>
      </c>
    </row>
    <row r="19" spans="1:7" x14ac:dyDescent="0.15">
      <c r="A19" s="6">
        <v>2</v>
      </c>
      <c r="B19" s="6">
        <v>2</v>
      </c>
      <c r="C19" t="s">
        <v>340</v>
      </c>
      <c r="D19">
        <v>1</v>
      </c>
      <c r="E19">
        <v>11000</v>
      </c>
      <c r="F19">
        <v>0</v>
      </c>
      <c r="G19" s="6">
        <f>VLOOKUP(表2[[#This Row],[道具ID]],[1]!表1[#Data],10,FALSE)</f>
        <v>0</v>
      </c>
    </row>
    <row r="20" spans="1:7" x14ac:dyDescent="0.15">
      <c r="A20" s="6">
        <v>2</v>
      </c>
      <c r="B20" s="6">
        <v>3</v>
      </c>
      <c r="C20" t="s">
        <v>341</v>
      </c>
      <c r="D20">
        <v>1</v>
      </c>
      <c r="E20">
        <v>11000</v>
      </c>
      <c r="F20">
        <v>0</v>
      </c>
      <c r="G20" s="6">
        <f>VLOOKUP(表2[[#This Row],[道具ID]],[1]!表1[#Data],10,FALSE)</f>
        <v>0</v>
      </c>
    </row>
    <row r="21" spans="1:7" x14ac:dyDescent="0.15">
      <c r="A21" s="6">
        <v>2</v>
      </c>
      <c r="B21" s="6">
        <v>4</v>
      </c>
      <c r="C21" t="s">
        <v>343</v>
      </c>
      <c r="D21">
        <v>1</v>
      </c>
      <c r="E21">
        <v>10000</v>
      </c>
      <c r="F21">
        <v>0</v>
      </c>
      <c r="G21" s="6">
        <f>VLOOKUP(表2[[#This Row],[道具ID]],[1]!表1[#Data],10,FALSE)</f>
        <v>0</v>
      </c>
    </row>
    <row r="22" spans="1:7" x14ac:dyDescent="0.15">
      <c r="A22" s="6">
        <v>2</v>
      </c>
      <c r="B22" s="6">
        <v>5</v>
      </c>
      <c r="C22" t="s">
        <v>343</v>
      </c>
      <c r="D22">
        <v>10</v>
      </c>
      <c r="E22">
        <v>4000</v>
      </c>
      <c r="F22">
        <v>1</v>
      </c>
      <c r="G22" s="6">
        <f>VLOOKUP(表2[[#This Row],[道具ID]],[1]!表1[#Data],10,FALSE)</f>
        <v>0</v>
      </c>
    </row>
    <row r="23" spans="1:7" x14ac:dyDescent="0.15">
      <c r="A23" s="6">
        <v>2</v>
      </c>
      <c r="B23" s="6">
        <v>6</v>
      </c>
      <c r="C23" t="s">
        <v>344</v>
      </c>
      <c r="D23">
        <v>10</v>
      </c>
      <c r="E23">
        <v>10000</v>
      </c>
      <c r="F23">
        <v>0</v>
      </c>
      <c r="G23" s="6">
        <f>VLOOKUP(表2[[#This Row],[道具ID]],[1]!表1[#Data],10,FALSE)</f>
        <v>0</v>
      </c>
    </row>
    <row r="24" spans="1:7" x14ac:dyDescent="0.15">
      <c r="A24" s="6">
        <v>2</v>
      </c>
      <c r="B24" s="6">
        <v>7</v>
      </c>
      <c r="C24" t="s">
        <v>345</v>
      </c>
      <c r="D24">
        <v>10</v>
      </c>
      <c r="E24">
        <v>9000</v>
      </c>
      <c r="F24">
        <v>1</v>
      </c>
      <c r="G24" s="6">
        <f>VLOOKUP(表2[[#This Row],[道具ID]],[1]!表1[#Data],10,FALSE)</f>
        <v>0</v>
      </c>
    </row>
    <row r="25" spans="1:7" x14ac:dyDescent="0.15">
      <c r="A25" s="6">
        <v>2</v>
      </c>
      <c r="B25" s="6">
        <v>8</v>
      </c>
      <c r="C25" t="s">
        <v>345</v>
      </c>
      <c r="D25">
        <v>1</v>
      </c>
      <c r="E25">
        <v>4200</v>
      </c>
      <c r="F25">
        <v>0</v>
      </c>
      <c r="G25" s="6">
        <f>VLOOKUP(表2[[#This Row],[道具ID]],[1]!表1[#Data],10,FALSE)</f>
        <v>0</v>
      </c>
    </row>
    <row r="26" spans="1:7" x14ac:dyDescent="0.15">
      <c r="A26" s="6">
        <v>2</v>
      </c>
      <c r="B26" s="6">
        <v>9</v>
      </c>
      <c r="C26" t="s">
        <v>341</v>
      </c>
      <c r="D26">
        <v>10</v>
      </c>
      <c r="E26">
        <v>5000</v>
      </c>
      <c r="F26">
        <v>0</v>
      </c>
      <c r="G26" s="6">
        <f>VLOOKUP(表2[[#This Row],[道具ID]],[1]!表1[#Data],10,FALSE)</f>
        <v>0</v>
      </c>
    </row>
    <row r="27" spans="1:7" x14ac:dyDescent="0.15">
      <c r="A27" s="6">
        <v>2</v>
      </c>
      <c r="B27" s="6">
        <v>10</v>
      </c>
      <c r="C27" t="s">
        <v>340</v>
      </c>
      <c r="D27">
        <v>10</v>
      </c>
      <c r="E27">
        <v>5000</v>
      </c>
      <c r="F27">
        <v>0</v>
      </c>
      <c r="G27" s="6">
        <f>VLOOKUP(表2[[#This Row],[道具ID]],[1]!表1[#Data],10,FALSE)</f>
        <v>0</v>
      </c>
    </row>
    <row r="28" spans="1:7" x14ac:dyDescent="0.15">
      <c r="A28" s="6">
        <v>2</v>
      </c>
      <c r="B28" s="6">
        <v>11</v>
      </c>
      <c r="C28" t="s">
        <v>342</v>
      </c>
      <c r="D28">
        <v>10</v>
      </c>
      <c r="E28">
        <v>5000</v>
      </c>
      <c r="F28">
        <v>0</v>
      </c>
      <c r="G28" s="6">
        <f>VLOOKUP(表2[[#This Row],[道具ID]],[1]!表1[#Data],10,FALSE)</f>
        <v>0</v>
      </c>
    </row>
    <row r="29" spans="1:7" x14ac:dyDescent="0.15">
      <c r="A29" s="6">
        <v>2</v>
      </c>
      <c r="B29" s="6">
        <v>12</v>
      </c>
      <c r="C29" t="s">
        <v>42</v>
      </c>
      <c r="D29">
        <v>10</v>
      </c>
      <c r="E29">
        <v>7000</v>
      </c>
      <c r="F29">
        <v>0</v>
      </c>
      <c r="G29" s="6">
        <f>VLOOKUP(表2[[#This Row],[道具ID]],[1]!表1[#Data],10,FALSE)</f>
        <v>0</v>
      </c>
    </row>
    <row r="30" spans="1:7" x14ac:dyDescent="0.15">
      <c r="A30" s="6">
        <v>2</v>
      </c>
      <c r="B30" s="6">
        <v>13</v>
      </c>
      <c r="C30" t="s">
        <v>42</v>
      </c>
      <c r="D30">
        <v>100</v>
      </c>
      <c r="E30">
        <v>7000</v>
      </c>
      <c r="F30">
        <v>0</v>
      </c>
      <c r="G30" s="6">
        <f>VLOOKUP(表2[[#This Row],[道具ID]],[1]!表1[#Data],10,FALSE)</f>
        <v>0</v>
      </c>
    </row>
    <row r="31" spans="1:7" x14ac:dyDescent="0.15">
      <c r="A31" s="6">
        <v>2</v>
      </c>
      <c r="B31" s="6">
        <v>14</v>
      </c>
      <c r="C31" t="s">
        <v>42</v>
      </c>
      <c r="D31">
        <v>1000</v>
      </c>
      <c r="E31">
        <v>800</v>
      </c>
      <c r="F31">
        <v>1</v>
      </c>
      <c r="G31" s="6">
        <f>VLOOKUP(表2[[#This Row],[道具ID]],[1]!表1[#Data],10,FALSE)</f>
        <v>0</v>
      </c>
    </row>
    <row r="32" spans="1:7" x14ac:dyDescent="0.15">
      <c r="A32" s="6">
        <v>101</v>
      </c>
      <c r="B32" s="6">
        <v>1</v>
      </c>
      <c r="C32" s="11" t="s">
        <v>208</v>
      </c>
      <c r="D32" s="6">
        <v>1</v>
      </c>
      <c r="E32">
        <v>500</v>
      </c>
      <c r="F32" s="6">
        <v>1</v>
      </c>
      <c r="G32" s="44">
        <f>VLOOKUP(表2[[#This Row],[道具ID]],[1]!表1[#Data],10,FALSE)</f>
        <v>0</v>
      </c>
    </row>
    <row r="33" spans="1:7" x14ac:dyDescent="0.15">
      <c r="A33" s="6">
        <v>101</v>
      </c>
      <c r="B33" s="6">
        <v>2</v>
      </c>
      <c r="C33" s="8" t="s">
        <v>209</v>
      </c>
      <c r="D33" s="6">
        <v>1</v>
      </c>
      <c r="E33">
        <v>12000</v>
      </c>
      <c r="F33">
        <v>0</v>
      </c>
      <c r="G33" s="44">
        <f>VLOOKUP(表2[[#This Row],[道具ID]],[1]!表1[#Data],10,FALSE)</f>
        <v>0</v>
      </c>
    </row>
    <row r="34" spans="1:7" x14ac:dyDescent="0.15">
      <c r="A34" s="6">
        <v>101</v>
      </c>
      <c r="B34" s="6">
        <v>3</v>
      </c>
      <c r="C34" s="8" t="s">
        <v>210</v>
      </c>
      <c r="D34" s="6">
        <v>1</v>
      </c>
      <c r="E34">
        <v>2000</v>
      </c>
      <c r="F34">
        <v>0</v>
      </c>
      <c r="G34" s="44">
        <f>VLOOKUP(表2[[#This Row],[道具ID]],[1]!表1[#Data],10,FALSE)</f>
        <v>0</v>
      </c>
    </row>
    <row r="35" spans="1:7" x14ac:dyDescent="0.15">
      <c r="A35" s="6">
        <v>101</v>
      </c>
      <c r="B35" s="6">
        <v>4</v>
      </c>
      <c r="C35" s="8" t="s">
        <v>211</v>
      </c>
      <c r="D35" s="6">
        <v>1</v>
      </c>
      <c r="E35">
        <v>10000</v>
      </c>
      <c r="F35" s="6">
        <v>1</v>
      </c>
      <c r="G35" s="44">
        <f>VLOOKUP(表2[[#This Row],[道具ID]],[1]!表1[#Data],10,FALSE)</f>
        <v>0</v>
      </c>
    </row>
    <row r="36" spans="1:7" x14ac:dyDescent="0.15">
      <c r="A36" s="6">
        <v>101</v>
      </c>
      <c r="B36" s="6">
        <v>5</v>
      </c>
      <c r="C36" s="8" t="s">
        <v>83</v>
      </c>
      <c r="D36" s="6">
        <v>1</v>
      </c>
      <c r="E36">
        <v>30000</v>
      </c>
      <c r="F36">
        <v>0</v>
      </c>
      <c r="G36" s="44">
        <f>VLOOKUP(表2[[#This Row],[道具ID]],[1]!表1[#Data],10,FALSE)</f>
        <v>0</v>
      </c>
    </row>
    <row r="37" spans="1:7" x14ac:dyDescent="0.15">
      <c r="A37" s="6">
        <v>101</v>
      </c>
      <c r="B37" s="6">
        <v>6</v>
      </c>
      <c r="C37" s="8" t="s">
        <v>84</v>
      </c>
      <c r="D37" s="6">
        <v>1</v>
      </c>
      <c r="E37">
        <v>11000</v>
      </c>
      <c r="F37">
        <v>1</v>
      </c>
      <c r="G37" s="44">
        <f>VLOOKUP(表2[[#This Row],[道具ID]],[1]!表1[#Data],10,FALSE)</f>
        <v>0</v>
      </c>
    </row>
    <row r="38" spans="1:7" x14ac:dyDescent="0.15">
      <c r="A38" s="6">
        <v>101</v>
      </c>
      <c r="B38" s="6">
        <v>7</v>
      </c>
      <c r="C38" s="8" t="s">
        <v>85</v>
      </c>
      <c r="D38" s="6">
        <v>1</v>
      </c>
      <c r="E38">
        <v>100</v>
      </c>
      <c r="F38">
        <v>1</v>
      </c>
      <c r="G38" s="44">
        <f>VLOOKUP(表2[[#This Row],[道具ID]],[1]!表1[#Data],10,FALSE)</f>
        <v>0</v>
      </c>
    </row>
    <row r="39" spans="1:7" x14ac:dyDescent="0.15">
      <c r="A39" s="6">
        <v>101</v>
      </c>
      <c r="B39" s="6">
        <v>8</v>
      </c>
      <c r="C39" s="8" t="s">
        <v>336</v>
      </c>
      <c r="D39" s="6">
        <v>10</v>
      </c>
      <c r="E39">
        <v>19795</v>
      </c>
      <c r="F39" s="6">
        <v>0</v>
      </c>
      <c r="G39" s="44">
        <f>VLOOKUP(表2[[#This Row],[道具ID]],[1]!表1[#Data],10,FALSE)</f>
        <v>0</v>
      </c>
    </row>
    <row r="40" spans="1:7" x14ac:dyDescent="0.15">
      <c r="A40" s="6">
        <v>101</v>
      </c>
      <c r="B40" s="6">
        <v>9</v>
      </c>
      <c r="C40" s="8" t="s">
        <v>210</v>
      </c>
      <c r="D40" s="6">
        <v>1</v>
      </c>
      <c r="E40">
        <v>2000</v>
      </c>
      <c r="F40" s="6">
        <v>0</v>
      </c>
      <c r="G40" s="44">
        <f>VLOOKUP(表2[[#This Row],[道具ID]],[1]!表1[#Data],10,FALSE)</f>
        <v>0</v>
      </c>
    </row>
    <row r="41" spans="1:7" x14ac:dyDescent="0.15">
      <c r="A41" s="6">
        <v>101</v>
      </c>
      <c r="B41" s="6">
        <v>10</v>
      </c>
      <c r="C41" s="8" t="s">
        <v>209</v>
      </c>
      <c r="D41" s="6">
        <v>1</v>
      </c>
      <c r="E41">
        <v>12000</v>
      </c>
      <c r="F41">
        <v>0</v>
      </c>
      <c r="G41" s="44">
        <f>VLOOKUP(表2[[#This Row],[道具ID]],[1]!表1[#Data],10,FALSE)</f>
        <v>0</v>
      </c>
    </row>
    <row r="42" spans="1:7" x14ac:dyDescent="0.15">
      <c r="A42" s="6">
        <v>101</v>
      </c>
      <c r="B42" s="6">
        <v>11</v>
      </c>
      <c r="C42" s="11" t="s">
        <v>208</v>
      </c>
      <c r="D42" s="6">
        <v>1</v>
      </c>
      <c r="E42">
        <v>500</v>
      </c>
      <c r="F42">
        <v>1</v>
      </c>
      <c r="G42" s="44">
        <f>VLOOKUP(表2[[#This Row],[道具ID]],[1]!表1[#Data],10,FALSE)</f>
        <v>0</v>
      </c>
    </row>
    <row r="43" spans="1:7" x14ac:dyDescent="0.15">
      <c r="A43" s="6">
        <v>101</v>
      </c>
      <c r="B43" s="6">
        <v>12</v>
      </c>
      <c r="C43" s="11" t="s">
        <v>86</v>
      </c>
      <c r="D43" s="6">
        <v>1</v>
      </c>
      <c r="E43">
        <v>50</v>
      </c>
      <c r="F43" s="6">
        <v>1</v>
      </c>
      <c r="G43" s="44">
        <f>VLOOKUP(表2[[#This Row],[道具ID]],[1]!表1[#Data],10,FALSE)</f>
        <v>0</v>
      </c>
    </row>
    <row r="44" spans="1:7" x14ac:dyDescent="0.15">
      <c r="A44" s="6">
        <v>101</v>
      </c>
      <c r="B44" s="6">
        <v>13</v>
      </c>
      <c r="C44" s="11" t="s">
        <v>212</v>
      </c>
      <c r="D44" s="6">
        <v>1</v>
      </c>
      <c r="E44">
        <v>5</v>
      </c>
      <c r="F44">
        <v>1</v>
      </c>
      <c r="G44" s="44">
        <f>VLOOKUP(表2[[#This Row],[道具ID]],[1]!表1[#Data],10,FALSE)</f>
        <v>0</v>
      </c>
    </row>
    <row r="45" spans="1:7" x14ac:dyDescent="0.15">
      <c r="A45" s="6">
        <v>101</v>
      </c>
      <c r="B45" s="6">
        <v>14</v>
      </c>
      <c r="C45" s="11" t="s">
        <v>86</v>
      </c>
      <c r="D45" s="6">
        <v>1</v>
      </c>
      <c r="E45">
        <v>50</v>
      </c>
      <c r="F45" s="6">
        <v>1</v>
      </c>
      <c r="G45" s="44">
        <f>VLOOKUP(表2[[#This Row],[道具ID]],[1]!表1[#Data],10,FALSE)</f>
        <v>0</v>
      </c>
    </row>
    <row r="46" spans="1:7" x14ac:dyDescent="0.15">
      <c r="A46" s="6">
        <f>A32+1</f>
        <v>102</v>
      </c>
      <c r="B46" s="6">
        <v>1</v>
      </c>
      <c r="C46" s="11" t="s">
        <v>208</v>
      </c>
      <c r="D46" s="6">
        <v>1</v>
      </c>
      <c r="E46">
        <v>500</v>
      </c>
      <c r="F46" s="6">
        <v>1</v>
      </c>
      <c r="G46" s="44">
        <f>VLOOKUP(表2[[#This Row],[道具ID]],[1]!表1[#Data],10,FALSE)</f>
        <v>0</v>
      </c>
    </row>
    <row r="47" spans="1:7" x14ac:dyDescent="0.15">
      <c r="A47" s="6">
        <f t="shared" ref="A47:A110" si="0">A33+1</f>
        <v>102</v>
      </c>
      <c r="B47" s="6">
        <v>2</v>
      </c>
      <c r="C47" s="8" t="s">
        <v>209</v>
      </c>
      <c r="D47" s="6">
        <v>1</v>
      </c>
      <c r="E47">
        <v>12000</v>
      </c>
      <c r="F47">
        <v>0</v>
      </c>
      <c r="G47" s="44">
        <f>VLOOKUP(表2[[#This Row],[道具ID]],[1]!表1[#Data],10,FALSE)</f>
        <v>0</v>
      </c>
    </row>
    <row r="48" spans="1:7" x14ac:dyDescent="0.15">
      <c r="A48" s="6">
        <f t="shared" si="0"/>
        <v>102</v>
      </c>
      <c r="B48" s="6">
        <v>3</v>
      </c>
      <c r="C48" s="8" t="s">
        <v>210</v>
      </c>
      <c r="D48" s="6">
        <v>1</v>
      </c>
      <c r="E48">
        <v>2000</v>
      </c>
      <c r="F48">
        <v>0</v>
      </c>
      <c r="G48" s="44">
        <f>VLOOKUP(表2[[#This Row],[道具ID]],[1]!表1[#Data],10,FALSE)</f>
        <v>0</v>
      </c>
    </row>
    <row r="49" spans="1:7" x14ac:dyDescent="0.15">
      <c r="A49" s="6">
        <f t="shared" si="0"/>
        <v>102</v>
      </c>
      <c r="B49" s="6">
        <v>4</v>
      </c>
      <c r="C49" s="8" t="s">
        <v>211</v>
      </c>
      <c r="D49" s="6">
        <v>1</v>
      </c>
      <c r="E49">
        <v>10000</v>
      </c>
      <c r="F49" s="6">
        <v>1</v>
      </c>
      <c r="G49" s="44">
        <f>VLOOKUP(表2[[#This Row],[道具ID]],[1]!表1[#Data],10,FALSE)</f>
        <v>0</v>
      </c>
    </row>
    <row r="50" spans="1:7" x14ac:dyDescent="0.15">
      <c r="A50" s="6">
        <f t="shared" si="0"/>
        <v>102</v>
      </c>
      <c r="B50" s="6">
        <v>5</v>
      </c>
      <c r="C50" s="8" t="s">
        <v>83</v>
      </c>
      <c r="D50" s="6">
        <v>1</v>
      </c>
      <c r="E50">
        <v>30000</v>
      </c>
      <c r="F50">
        <v>0</v>
      </c>
      <c r="G50" s="44">
        <f>VLOOKUP(表2[[#This Row],[道具ID]],[1]!表1[#Data],10,FALSE)</f>
        <v>0</v>
      </c>
    </row>
    <row r="51" spans="1:7" x14ac:dyDescent="0.15">
      <c r="A51" s="6">
        <f t="shared" si="0"/>
        <v>102</v>
      </c>
      <c r="B51" s="6">
        <v>6</v>
      </c>
      <c r="C51" s="8" t="s">
        <v>84</v>
      </c>
      <c r="D51" s="6">
        <v>1</v>
      </c>
      <c r="E51">
        <v>11000</v>
      </c>
      <c r="F51">
        <v>1</v>
      </c>
      <c r="G51" s="44">
        <f>VLOOKUP(表2[[#This Row],[道具ID]],[1]!表1[#Data],10,FALSE)</f>
        <v>0</v>
      </c>
    </row>
    <row r="52" spans="1:7" x14ac:dyDescent="0.15">
      <c r="A52" s="6">
        <f t="shared" si="0"/>
        <v>102</v>
      </c>
      <c r="B52" s="6">
        <v>7</v>
      </c>
      <c r="C52" s="8" t="s">
        <v>85</v>
      </c>
      <c r="D52" s="6">
        <v>1</v>
      </c>
      <c r="E52">
        <v>100</v>
      </c>
      <c r="F52">
        <v>1</v>
      </c>
      <c r="G52" s="44">
        <f>VLOOKUP(表2[[#This Row],[道具ID]],[1]!表1[#Data],10,FALSE)</f>
        <v>0</v>
      </c>
    </row>
    <row r="53" spans="1:7" x14ac:dyDescent="0.15">
      <c r="A53" s="6">
        <f t="shared" si="0"/>
        <v>102</v>
      </c>
      <c r="B53" s="6">
        <v>8</v>
      </c>
      <c r="C53" s="8" t="s">
        <v>335</v>
      </c>
      <c r="D53" s="6">
        <v>10</v>
      </c>
      <c r="E53">
        <v>19795</v>
      </c>
      <c r="F53" s="6">
        <v>0</v>
      </c>
      <c r="G53" s="44">
        <f>VLOOKUP(表2[[#This Row],[道具ID]],[1]!表1[#Data],10,FALSE)</f>
        <v>0</v>
      </c>
    </row>
    <row r="54" spans="1:7" x14ac:dyDescent="0.15">
      <c r="A54" s="6">
        <f t="shared" si="0"/>
        <v>102</v>
      </c>
      <c r="B54" s="6">
        <v>9</v>
      </c>
      <c r="C54" s="8" t="s">
        <v>210</v>
      </c>
      <c r="D54" s="6">
        <v>1</v>
      </c>
      <c r="E54">
        <v>2000</v>
      </c>
      <c r="F54" s="6">
        <v>0</v>
      </c>
      <c r="G54" s="44">
        <f>VLOOKUP(表2[[#This Row],[道具ID]],[1]!表1[#Data],10,FALSE)</f>
        <v>0</v>
      </c>
    </row>
    <row r="55" spans="1:7" x14ac:dyDescent="0.15">
      <c r="A55" s="6">
        <f t="shared" si="0"/>
        <v>102</v>
      </c>
      <c r="B55" s="6">
        <v>10</v>
      </c>
      <c r="C55" s="8" t="s">
        <v>209</v>
      </c>
      <c r="D55" s="6">
        <v>1</v>
      </c>
      <c r="E55">
        <v>12000</v>
      </c>
      <c r="F55">
        <v>0</v>
      </c>
      <c r="G55" s="44">
        <f>VLOOKUP(表2[[#This Row],[道具ID]],[1]!表1[#Data],10,FALSE)</f>
        <v>0</v>
      </c>
    </row>
    <row r="56" spans="1:7" x14ac:dyDescent="0.15">
      <c r="A56" s="6">
        <f t="shared" si="0"/>
        <v>102</v>
      </c>
      <c r="B56" s="6">
        <v>11</v>
      </c>
      <c r="C56" s="11" t="s">
        <v>208</v>
      </c>
      <c r="D56" s="6">
        <v>1</v>
      </c>
      <c r="E56">
        <v>500</v>
      </c>
      <c r="F56">
        <v>1</v>
      </c>
      <c r="G56" s="44">
        <f>VLOOKUP(表2[[#This Row],[道具ID]],[1]!表1[#Data],10,FALSE)</f>
        <v>0</v>
      </c>
    </row>
    <row r="57" spans="1:7" x14ac:dyDescent="0.15">
      <c r="A57" s="6">
        <f t="shared" si="0"/>
        <v>102</v>
      </c>
      <c r="B57" s="6">
        <v>12</v>
      </c>
      <c r="C57" s="11" t="s">
        <v>86</v>
      </c>
      <c r="D57" s="6">
        <v>1</v>
      </c>
      <c r="E57">
        <v>50</v>
      </c>
      <c r="F57" s="6">
        <v>1</v>
      </c>
      <c r="G57" s="44">
        <f>VLOOKUP(表2[[#This Row],[道具ID]],[1]!表1[#Data],10,FALSE)</f>
        <v>0</v>
      </c>
    </row>
    <row r="58" spans="1:7" x14ac:dyDescent="0.15">
      <c r="A58" s="6">
        <f t="shared" si="0"/>
        <v>102</v>
      </c>
      <c r="B58" s="6">
        <v>13</v>
      </c>
      <c r="C58" s="11" t="s">
        <v>212</v>
      </c>
      <c r="D58" s="6">
        <v>1</v>
      </c>
      <c r="E58">
        <v>5</v>
      </c>
      <c r="F58">
        <v>1</v>
      </c>
      <c r="G58" s="44">
        <f>VLOOKUP(表2[[#This Row],[道具ID]],[1]!表1[#Data],10,FALSE)</f>
        <v>0</v>
      </c>
    </row>
    <row r="59" spans="1:7" x14ac:dyDescent="0.15">
      <c r="A59" s="6">
        <f t="shared" si="0"/>
        <v>102</v>
      </c>
      <c r="B59" s="6">
        <v>14</v>
      </c>
      <c r="C59" s="11" t="s">
        <v>86</v>
      </c>
      <c r="D59" s="6">
        <v>1</v>
      </c>
      <c r="E59">
        <v>50</v>
      </c>
      <c r="F59" s="6">
        <v>1</v>
      </c>
      <c r="G59" s="44">
        <f>VLOOKUP(表2[[#This Row],[道具ID]],[1]!表1[#Data],10,FALSE)</f>
        <v>0</v>
      </c>
    </row>
    <row r="60" spans="1:7" x14ac:dyDescent="0.15">
      <c r="A60" s="6">
        <f>A46+1</f>
        <v>103</v>
      </c>
      <c r="B60" s="6">
        <v>1</v>
      </c>
      <c r="C60" s="11" t="s">
        <v>208</v>
      </c>
      <c r="D60" s="6">
        <v>1</v>
      </c>
      <c r="E60">
        <v>500</v>
      </c>
      <c r="F60" s="6">
        <v>1</v>
      </c>
      <c r="G60" s="44">
        <f>VLOOKUP(表2[[#This Row],[道具ID]],[1]!表1[#Data],10,FALSE)</f>
        <v>0</v>
      </c>
    </row>
    <row r="61" spans="1:7" x14ac:dyDescent="0.15">
      <c r="A61" s="6">
        <f t="shared" si="0"/>
        <v>103</v>
      </c>
      <c r="B61" s="6">
        <v>2</v>
      </c>
      <c r="C61" s="8" t="s">
        <v>209</v>
      </c>
      <c r="D61" s="6">
        <v>1</v>
      </c>
      <c r="E61">
        <v>12000</v>
      </c>
      <c r="F61">
        <v>0</v>
      </c>
      <c r="G61" s="44">
        <f>VLOOKUP(表2[[#This Row],[道具ID]],[1]!表1[#Data],10,FALSE)</f>
        <v>0</v>
      </c>
    </row>
    <row r="62" spans="1:7" x14ac:dyDescent="0.15">
      <c r="A62" s="6">
        <f t="shared" si="0"/>
        <v>103</v>
      </c>
      <c r="B62" s="6">
        <v>3</v>
      </c>
      <c r="C62" s="8" t="s">
        <v>210</v>
      </c>
      <c r="D62" s="6">
        <v>1</v>
      </c>
      <c r="E62">
        <v>2000</v>
      </c>
      <c r="F62">
        <v>0</v>
      </c>
      <c r="G62" s="44">
        <f>VLOOKUP(表2[[#This Row],[道具ID]],[1]!表1[#Data],10,FALSE)</f>
        <v>0</v>
      </c>
    </row>
    <row r="63" spans="1:7" x14ac:dyDescent="0.15">
      <c r="A63" s="6">
        <f t="shared" si="0"/>
        <v>103</v>
      </c>
      <c r="B63" s="6">
        <v>4</v>
      </c>
      <c r="C63" s="8" t="s">
        <v>211</v>
      </c>
      <c r="D63" s="6">
        <v>1</v>
      </c>
      <c r="E63">
        <v>10000</v>
      </c>
      <c r="F63" s="6">
        <v>1</v>
      </c>
      <c r="G63" s="44">
        <f>VLOOKUP(表2[[#This Row],[道具ID]],[1]!表1[#Data],10,FALSE)</f>
        <v>0</v>
      </c>
    </row>
    <row r="64" spans="1:7" x14ac:dyDescent="0.15">
      <c r="A64" s="6">
        <f t="shared" si="0"/>
        <v>103</v>
      </c>
      <c r="B64" s="6">
        <v>5</v>
      </c>
      <c r="C64" s="8" t="s">
        <v>83</v>
      </c>
      <c r="D64" s="6">
        <v>1</v>
      </c>
      <c r="E64">
        <v>30000</v>
      </c>
      <c r="F64">
        <v>0</v>
      </c>
      <c r="G64" s="44">
        <f>VLOOKUP(表2[[#This Row],[道具ID]],[1]!表1[#Data],10,FALSE)</f>
        <v>0</v>
      </c>
    </row>
    <row r="65" spans="1:7" x14ac:dyDescent="0.15">
      <c r="A65" s="6">
        <f t="shared" si="0"/>
        <v>103</v>
      </c>
      <c r="B65" s="6">
        <v>6</v>
      </c>
      <c r="C65" s="8" t="s">
        <v>84</v>
      </c>
      <c r="D65" s="6">
        <v>1</v>
      </c>
      <c r="E65">
        <v>11000</v>
      </c>
      <c r="F65">
        <v>1</v>
      </c>
      <c r="G65" s="44">
        <f>VLOOKUP(表2[[#This Row],[道具ID]],[1]!表1[#Data],10,FALSE)</f>
        <v>0</v>
      </c>
    </row>
    <row r="66" spans="1:7" x14ac:dyDescent="0.15">
      <c r="A66" s="6">
        <f t="shared" si="0"/>
        <v>103</v>
      </c>
      <c r="B66" s="6">
        <v>7</v>
      </c>
      <c r="C66" s="8" t="s">
        <v>85</v>
      </c>
      <c r="D66" s="6">
        <v>1</v>
      </c>
      <c r="E66">
        <v>100</v>
      </c>
      <c r="F66">
        <v>1</v>
      </c>
      <c r="G66" s="44">
        <f>VLOOKUP(表2[[#This Row],[道具ID]],[1]!表1[#Data],10,FALSE)</f>
        <v>0</v>
      </c>
    </row>
    <row r="67" spans="1:7" x14ac:dyDescent="0.15">
      <c r="A67" s="6">
        <f t="shared" si="0"/>
        <v>103</v>
      </c>
      <c r="B67" s="6">
        <v>8</v>
      </c>
      <c r="C67" s="8" t="s">
        <v>334</v>
      </c>
      <c r="D67" s="6">
        <v>10</v>
      </c>
      <c r="E67">
        <v>19795</v>
      </c>
      <c r="F67" s="6">
        <v>0</v>
      </c>
      <c r="G67" s="44">
        <f>VLOOKUP(表2[[#This Row],[道具ID]],[1]!表1[#Data],10,FALSE)</f>
        <v>0</v>
      </c>
    </row>
    <row r="68" spans="1:7" x14ac:dyDescent="0.15">
      <c r="A68" s="6">
        <f t="shared" si="0"/>
        <v>103</v>
      </c>
      <c r="B68" s="6">
        <v>9</v>
      </c>
      <c r="C68" s="8" t="s">
        <v>210</v>
      </c>
      <c r="D68" s="6">
        <v>1</v>
      </c>
      <c r="E68">
        <v>2000</v>
      </c>
      <c r="F68" s="6">
        <v>0</v>
      </c>
      <c r="G68" s="44">
        <f>VLOOKUP(表2[[#This Row],[道具ID]],[1]!表1[#Data],10,FALSE)</f>
        <v>0</v>
      </c>
    </row>
    <row r="69" spans="1:7" x14ac:dyDescent="0.15">
      <c r="A69" s="6">
        <f t="shared" si="0"/>
        <v>103</v>
      </c>
      <c r="B69" s="6">
        <v>10</v>
      </c>
      <c r="C69" s="8" t="s">
        <v>209</v>
      </c>
      <c r="D69" s="6">
        <v>1</v>
      </c>
      <c r="E69">
        <v>12000</v>
      </c>
      <c r="F69">
        <v>0</v>
      </c>
      <c r="G69" s="44">
        <f>VLOOKUP(表2[[#This Row],[道具ID]],[1]!表1[#Data],10,FALSE)</f>
        <v>0</v>
      </c>
    </row>
    <row r="70" spans="1:7" x14ac:dyDescent="0.15">
      <c r="A70" s="6">
        <f t="shared" si="0"/>
        <v>103</v>
      </c>
      <c r="B70" s="6">
        <v>11</v>
      </c>
      <c r="C70" s="11" t="s">
        <v>208</v>
      </c>
      <c r="D70" s="6">
        <v>1</v>
      </c>
      <c r="E70">
        <v>500</v>
      </c>
      <c r="F70">
        <v>1</v>
      </c>
      <c r="G70" s="44">
        <f>VLOOKUP(表2[[#This Row],[道具ID]],[1]!表1[#Data],10,FALSE)</f>
        <v>0</v>
      </c>
    </row>
    <row r="71" spans="1:7" x14ac:dyDescent="0.15">
      <c r="A71" s="6">
        <f t="shared" si="0"/>
        <v>103</v>
      </c>
      <c r="B71" s="6">
        <v>12</v>
      </c>
      <c r="C71" s="11" t="s">
        <v>86</v>
      </c>
      <c r="D71" s="6">
        <v>1</v>
      </c>
      <c r="E71">
        <v>50</v>
      </c>
      <c r="F71" s="6">
        <v>1</v>
      </c>
      <c r="G71" s="44">
        <f>VLOOKUP(表2[[#This Row],[道具ID]],[1]!表1[#Data],10,FALSE)</f>
        <v>0</v>
      </c>
    </row>
    <row r="72" spans="1:7" x14ac:dyDescent="0.15">
      <c r="A72" s="6">
        <f t="shared" si="0"/>
        <v>103</v>
      </c>
      <c r="B72" s="6">
        <v>13</v>
      </c>
      <c r="C72" s="11" t="s">
        <v>212</v>
      </c>
      <c r="D72" s="6">
        <v>1</v>
      </c>
      <c r="E72">
        <v>5</v>
      </c>
      <c r="F72">
        <v>1</v>
      </c>
      <c r="G72" s="44">
        <f>VLOOKUP(表2[[#This Row],[道具ID]],[1]!表1[#Data],10,FALSE)</f>
        <v>0</v>
      </c>
    </row>
    <row r="73" spans="1:7" x14ac:dyDescent="0.15">
      <c r="A73" s="6">
        <f t="shared" si="0"/>
        <v>103</v>
      </c>
      <c r="B73" s="6">
        <v>14</v>
      </c>
      <c r="C73" s="11" t="s">
        <v>86</v>
      </c>
      <c r="D73" s="6">
        <v>1</v>
      </c>
      <c r="E73">
        <v>50</v>
      </c>
      <c r="F73" s="6">
        <v>1</v>
      </c>
      <c r="G73" s="44">
        <f>VLOOKUP(表2[[#This Row],[道具ID]],[1]!表1[#Data],10,FALSE)</f>
        <v>0</v>
      </c>
    </row>
    <row r="74" spans="1:7" x14ac:dyDescent="0.15">
      <c r="A74" s="6">
        <f>A60+1</f>
        <v>104</v>
      </c>
      <c r="B74" s="6">
        <v>1</v>
      </c>
      <c r="C74" s="11" t="s">
        <v>208</v>
      </c>
      <c r="D74" s="6">
        <v>1</v>
      </c>
      <c r="E74">
        <v>500</v>
      </c>
      <c r="F74" s="6">
        <v>1</v>
      </c>
      <c r="G74" s="44">
        <f>VLOOKUP(表2[[#This Row],[道具ID]],[1]!表1[#Data],10,FALSE)</f>
        <v>0</v>
      </c>
    </row>
    <row r="75" spans="1:7" x14ac:dyDescent="0.15">
      <c r="A75" s="6">
        <f t="shared" si="0"/>
        <v>104</v>
      </c>
      <c r="B75" s="6">
        <v>2</v>
      </c>
      <c r="C75" s="8" t="s">
        <v>209</v>
      </c>
      <c r="D75" s="6">
        <v>1</v>
      </c>
      <c r="E75">
        <v>12000</v>
      </c>
      <c r="F75">
        <v>0</v>
      </c>
      <c r="G75" s="44">
        <f>VLOOKUP(表2[[#This Row],[道具ID]],[1]!表1[#Data],10,FALSE)</f>
        <v>0</v>
      </c>
    </row>
    <row r="76" spans="1:7" x14ac:dyDescent="0.15">
      <c r="A76" s="6">
        <f t="shared" si="0"/>
        <v>104</v>
      </c>
      <c r="B76" s="6">
        <v>3</v>
      </c>
      <c r="C76" s="8" t="s">
        <v>210</v>
      </c>
      <c r="D76" s="6">
        <v>1</v>
      </c>
      <c r="E76">
        <v>2000</v>
      </c>
      <c r="F76">
        <v>0</v>
      </c>
      <c r="G76" s="44">
        <f>VLOOKUP(表2[[#This Row],[道具ID]],[1]!表1[#Data],10,FALSE)</f>
        <v>0</v>
      </c>
    </row>
    <row r="77" spans="1:7" x14ac:dyDescent="0.15">
      <c r="A77" s="6">
        <f t="shared" si="0"/>
        <v>104</v>
      </c>
      <c r="B77" s="6">
        <v>4</v>
      </c>
      <c r="C77" s="8" t="s">
        <v>211</v>
      </c>
      <c r="D77" s="6">
        <v>1</v>
      </c>
      <c r="E77">
        <v>10000</v>
      </c>
      <c r="F77" s="6">
        <v>1</v>
      </c>
      <c r="G77" s="44">
        <f>VLOOKUP(表2[[#This Row],[道具ID]],[1]!表1[#Data],10,FALSE)</f>
        <v>0</v>
      </c>
    </row>
    <row r="78" spans="1:7" x14ac:dyDescent="0.15">
      <c r="A78" s="6">
        <f t="shared" si="0"/>
        <v>104</v>
      </c>
      <c r="B78" s="6">
        <v>5</v>
      </c>
      <c r="C78" s="8" t="s">
        <v>83</v>
      </c>
      <c r="D78" s="6">
        <v>1</v>
      </c>
      <c r="E78">
        <v>30000</v>
      </c>
      <c r="F78">
        <v>0</v>
      </c>
      <c r="G78" s="44">
        <f>VLOOKUP(表2[[#This Row],[道具ID]],[1]!表1[#Data],10,FALSE)</f>
        <v>0</v>
      </c>
    </row>
    <row r="79" spans="1:7" x14ac:dyDescent="0.15">
      <c r="A79" s="6">
        <f t="shared" si="0"/>
        <v>104</v>
      </c>
      <c r="B79" s="6">
        <v>6</v>
      </c>
      <c r="C79" s="8" t="s">
        <v>84</v>
      </c>
      <c r="D79" s="6">
        <v>1</v>
      </c>
      <c r="E79">
        <v>11000</v>
      </c>
      <c r="F79">
        <v>1</v>
      </c>
      <c r="G79" s="44">
        <f>VLOOKUP(表2[[#This Row],[道具ID]],[1]!表1[#Data],10,FALSE)</f>
        <v>0</v>
      </c>
    </row>
    <row r="80" spans="1:7" x14ac:dyDescent="0.15">
      <c r="A80" s="6">
        <f t="shared" si="0"/>
        <v>104</v>
      </c>
      <c r="B80" s="6">
        <v>7</v>
      </c>
      <c r="C80" s="8" t="s">
        <v>85</v>
      </c>
      <c r="D80" s="6">
        <v>1</v>
      </c>
      <c r="E80">
        <v>100</v>
      </c>
      <c r="F80">
        <v>1</v>
      </c>
      <c r="G80" s="44">
        <f>VLOOKUP(表2[[#This Row],[道具ID]],[1]!表1[#Data],10,FALSE)</f>
        <v>0</v>
      </c>
    </row>
    <row r="81" spans="1:7" x14ac:dyDescent="0.15">
      <c r="A81" s="6">
        <f t="shared" si="0"/>
        <v>104</v>
      </c>
      <c r="B81" s="6">
        <v>8</v>
      </c>
      <c r="C81" s="8" t="s">
        <v>333</v>
      </c>
      <c r="D81" s="6">
        <v>10</v>
      </c>
      <c r="E81">
        <v>19795</v>
      </c>
      <c r="F81" s="6">
        <v>0</v>
      </c>
      <c r="G81" s="44">
        <f>VLOOKUP(表2[[#This Row],[道具ID]],[1]!表1[#Data],10,FALSE)</f>
        <v>0</v>
      </c>
    </row>
    <row r="82" spans="1:7" x14ac:dyDescent="0.15">
      <c r="A82" s="6">
        <f t="shared" si="0"/>
        <v>104</v>
      </c>
      <c r="B82" s="6">
        <v>9</v>
      </c>
      <c r="C82" s="8" t="s">
        <v>210</v>
      </c>
      <c r="D82" s="6">
        <v>1</v>
      </c>
      <c r="E82">
        <v>2000</v>
      </c>
      <c r="F82" s="6">
        <v>0</v>
      </c>
      <c r="G82" s="44">
        <f>VLOOKUP(表2[[#This Row],[道具ID]],[1]!表1[#Data],10,FALSE)</f>
        <v>0</v>
      </c>
    </row>
    <row r="83" spans="1:7" x14ac:dyDescent="0.15">
      <c r="A83" s="6">
        <f t="shared" si="0"/>
        <v>104</v>
      </c>
      <c r="B83" s="6">
        <v>10</v>
      </c>
      <c r="C83" s="8" t="s">
        <v>209</v>
      </c>
      <c r="D83" s="6">
        <v>1</v>
      </c>
      <c r="E83">
        <v>12000</v>
      </c>
      <c r="F83">
        <v>0</v>
      </c>
      <c r="G83" s="44">
        <f>VLOOKUP(表2[[#This Row],[道具ID]],[1]!表1[#Data],10,FALSE)</f>
        <v>0</v>
      </c>
    </row>
    <row r="84" spans="1:7" x14ac:dyDescent="0.15">
      <c r="A84" s="6">
        <f t="shared" si="0"/>
        <v>104</v>
      </c>
      <c r="B84" s="6">
        <v>11</v>
      </c>
      <c r="C84" s="11" t="s">
        <v>208</v>
      </c>
      <c r="D84" s="6">
        <v>1</v>
      </c>
      <c r="E84">
        <v>500</v>
      </c>
      <c r="F84">
        <v>1</v>
      </c>
      <c r="G84" s="44">
        <f>VLOOKUP(表2[[#This Row],[道具ID]],[1]!表1[#Data],10,FALSE)</f>
        <v>0</v>
      </c>
    </row>
    <row r="85" spans="1:7" x14ac:dyDescent="0.15">
      <c r="A85" s="6">
        <f t="shared" si="0"/>
        <v>104</v>
      </c>
      <c r="B85" s="6">
        <v>12</v>
      </c>
      <c r="C85" s="11" t="s">
        <v>86</v>
      </c>
      <c r="D85" s="6">
        <v>1</v>
      </c>
      <c r="E85">
        <v>50</v>
      </c>
      <c r="F85" s="6">
        <v>1</v>
      </c>
      <c r="G85" s="44">
        <f>VLOOKUP(表2[[#This Row],[道具ID]],[1]!表1[#Data],10,FALSE)</f>
        <v>0</v>
      </c>
    </row>
    <row r="86" spans="1:7" x14ac:dyDescent="0.15">
      <c r="A86" s="6">
        <f t="shared" si="0"/>
        <v>104</v>
      </c>
      <c r="B86" s="6">
        <v>13</v>
      </c>
      <c r="C86" s="11" t="s">
        <v>212</v>
      </c>
      <c r="D86" s="6">
        <v>1</v>
      </c>
      <c r="E86">
        <v>5</v>
      </c>
      <c r="F86">
        <v>1</v>
      </c>
      <c r="G86" s="44">
        <f>VLOOKUP(表2[[#This Row],[道具ID]],[1]!表1[#Data],10,FALSE)</f>
        <v>0</v>
      </c>
    </row>
    <row r="87" spans="1:7" x14ac:dyDescent="0.15">
      <c r="A87" s="6">
        <f t="shared" si="0"/>
        <v>104</v>
      </c>
      <c r="B87" s="6">
        <v>14</v>
      </c>
      <c r="C87" s="11" t="s">
        <v>86</v>
      </c>
      <c r="D87" s="6">
        <v>1</v>
      </c>
      <c r="E87">
        <v>50</v>
      </c>
      <c r="F87" s="6">
        <v>1</v>
      </c>
      <c r="G87" s="44">
        <f>VLOOKUP(表2[[#This Row],[道具ID]],[1]!表1[#Data],10,FALSE)</f>
        <v>0</v>
      </c>
    </row>
    <row r="88" spans="1:7" x14ac:dyDescent="0.15">
      <c r="A88" s="6">
        <f>A74+1</f>
        <v>105</v>
      </c>
      <c r="B88" s="6">
        <v>1</v>
      </c>
      <c r="C88" s="11" t="s">
        <v>208</v>
      </c>
      <c r="D88" s="6">
        <v>1</v>
      </c>
      <c r="E88">
        <v>500</v>
      </c>
      <c r="F88" s="6">
        <v>1</v>
      </c>
      <c r="G88" s="44">
        <f>VLOOKUP(表2[[#This Row],[道具ID]],[1]!表1[#Data],10,FALSE)</f>
        <v>0</v>
      </c>
    </row>
    <row r="89" spans="1:7" x14ac:dyDescent="0.15">
      <c r="A89" s="6">
        <f t="shared" si="0"/>
        <v>105</v>
      </c>
      <c r="B89" s="6">
        <v>2</v>
      </c>
      <c r="C89" s="8" t="s">
        <v>209</v>
      </c>
      <c r="D89" s="6">
        <v>1</v>
      </c>
      <c r="E89">
        <v>12000</v>
      </c>
      <c r="F89">
        <v>0</v>
      </c>
      <c r="G89" s="44">
        <f>VLOOKUP(表2[[#This Row],[道具ID]],[1]!表1[#Data],10,FALSE)</f>
        <v>0</v>
      </c>
    </row>
    <row r="90" spans="1:7" x14ac:dyDescent="0.15">
      <c r="A90" s="6">
        <f t="shared" si="0"/>
        <v>105</v>
      </c>
      <c r="B90" s="6">
        <v>3</v>
      </c>
      <c r="C90" s="8" t="s">
        <v>210</v>
      </c>
      <c r="D90" s="6">
        <v>1</v>
      </c>
      <c r="E90">
        <v>2000</v>
      </c>
      <c r="F90">
        <v>0</v>
      </c>
      <c r="G90" s="44">
        <f>VLOOKUP(表2[[#This Row],[道具ID]],[1]!表1[#Data],10,FALSE)</f>
        <v>0</v>
      </c>
    </row>
    <row r="91" spans="1:7" x14ac:dyDescent="0.15">
      <c r="A91" s="6">
        <f t="shared" si="0"/>
        <v>105</v>
      </c>
      <c r="B91" s="6">
        <v>4</v>
      </c>
      <c r="C91" s="8" t="s">
        <v>211</v>
      </c>
      <c r="D91" s="6">
        <v>1</v>
      </c>
      <c r="E91">
        <v>10000</v>
      </c>
      <c r="F91" s="6">
        <v>1</v>
      </c>
      <c r="G91" s="44">
        <f>VLOOKUP(表2[[#This Row],[道具ID]],[1]!表1[#Data],10,FALSE)</f>
        <v>0</v>
      </c>
    </row>
    <row r="92" spans="1:7" x14ac:dyDescent="0.15">
      <c r="A92" s="6">
        <f t="shared" si="0"/>
        <v>105</v>
      </c>
      <c r="B92" s="6">
        <v>5</v>
      </c>
      <c r="C92" s="8" t="s">
        <v>83</v>
      </c>
      <c r="D92" s="6">
        <v>1</v>
      </c>
      <c r="E92">
        <v>30000</v>
      </c>
      <c r="F92">
        <v>0</v>
      </c>
      <c r="G92" s="44">
        <f>VLOOKUP(表2[[#This Row],[道具ID]],[1]!表1[#Data],10,FALSE)</f>
        <v>0</v>
      </c>
    </row>
    <row r="93" spans="1:7" x14ac:dyDescent="0.15">
      <c r="A93" s="6">
        <f t="shared" si="0"/>
        <v>105</v>
      </c>
      <c r="B93" s="6">
        <v>6</v>
      </c>
      <c r="C93" s="8" t="s">
        <v>84</v>
      </c>
      <c r="D93" s="6">
        <v>1</v>
      </c>
      <c r="E93">
        <v>11000</v>
      </c>
      <c r="F93">
        <v>1</v>
      </c>
      <c r="G93" s="44">
        <f>VLOOKUP(表2[[#This Row],[道具ID]],[1]!表1[#Data],10,FALSE)</f>
        <v>0</v>
      </c>
    </row>
    <row r="94" spans="1:7" x14ac:dyDescent="0.15">
      <c r="A94" s="6">
        <f t="shared" si="0"/>
        <v>105</v>
      </c>
      <c r="B94" s="6">
        <v>7</v>
      </c>
      <c r="C94" s="8" t="s">
        <v>85</v>
      </c>
      <c r="D94" s="6">
        <v>1</v>
      </c>
      <c r="E94">
        <v>100</v>
      </c>
      <c r="F94">
        <v>1</v>
      </c>
      <c r="G94" s="44">
        <f>VLOOKUP(表2[[#This Row],[道具ID]],[1]!表1[#Data],10,FALSE)</f>
        <v>0</v>
      </c>
    </row>
    <row r="95" spans="1:7" x14ac:dyDescent="0.15">
      <c r="A95" s="6">
        <f t="shared" si="0"/>
        <v>105</v>
      </c>
      <c r="B95" s="6">
        <v>8</v>
      </c>
      <c r="C95" s="8" t="s">
        <v>332</v>
      </c>
      <c r="D95" s="6">
        <v>10</v>
      </c>
      <c r="E95">
        <v>19795</v>
      </c>
      <c r="F95" s="6">
        <v>0</v>
      </c>
      <c r="G95" s="44">
        <f>VLOOKUP(表2[[#This Row],[道具ID]],[1]!表1[#Data],10,FALSE)</f>
        <v>0</v>
      </c>
    </row>
    <row r="96" spans="1:7" x14ac:dyDescent="0.15">
      <c r="A96" s="6">
        <f t="shared" si="0"/>
        <v>105</v>
      </c>
      <c r="B96" s="6">
        <v>9</v>
      </c>
      <c r="C96" s="8" t="s">
        <v>210</v>
      </c>
      <c r="D96" s="6">
        <v>1</v>
      </c>
      <c r="E96">
        <v>2000</v>
      </c>
      <c r="F96" s="6">
        <v>0</v>
      </c>
      <c r="G96" s="44">
        <f>VLOOKUP(表2[[#This Row],[道具ID]],[1]!表1[#Data],10,FALSE)</f>
        <v>0</v>
      </c>
    </row>
    <row r="97" spans="1:7" x14ac:dyDescent="0.15">
      <c r="A97" s="6">
        <f t="shared" si="0"/>
        <v>105</v>
      </c>
      <c r="B97" s="6">
        <v>10</v>
      </c>
      <c r="C97" s="8" t="s">
        <v>209</v>
      </c>
      <c r="D97" s="6">
        <v>1</v>
      </c>
      <c r="E97">
        <v>12000</v>
      </c>
      <c r="F97">
        <v>0</v>
      </c>
      <c r="G97" s="44">
        <f>VLOOKUP(表2[[#This Row],[道具ID]],[1]!表1[#Data],10,FALSE)</f>
        <v>0</v>
      </c>
    </row>
    <row r="98" spans="1:7" x14ac:dyDescent="0.15">
      <c r="A98" s="6">
        <f t="shared" si="0"/>
        <v>105</v>
      </c>
      <c r="B98" s="6">
        <v>11</v>
      </c>
      <c r="C98" s="11" t="s">
        <v>208</v>
      </c>
      <c r="D98" s="6">
        <v>1</v>
      </c>
      <c r="E98">
        <v>500</v>
      </c>
      <c r="F98">
        <v>1</v>
      </c>
      <c r="G98" s="44">
        <f>VLOOKUP(表2[[#This Row],[道具ID]],[1]!表1[#Data],10,FALSE)</f>
        <v>0</v>
      </c>
    </row>
    <row r="99" spans="1:7" x14ac:dyDescent="0.15">
      <c r="A99" s="6">
        <f t="shared" si="0"/>
        <v>105</v>
      </c>
      <c r="B99" s="6">
        <v>12</v>
      </c>
      <c r="C99" s="11" t="s">
        <v>86</v>
      </c>
      <c r="D99" s="6">
        <v>1</v>
      </c>
      <c r="E99">
        <v>50</v>
      </c>
      <c r="F99" s="6">
        <v>1</v>
      </c>
      <c r="G99" s="44">
        <f>VLOOKUP(表2[[#This Row],[道具ID]],[1]!表1[#Data],10,FALSE)</f>
        <v>0</v>
      </c>
    </row>
    <row r="100" spans="1:7" x14ac:dyDescent="0.15">
      <c r="A100" s="6">
        <f t="shared" si="0"/>
        <v>105</v>
      </c>
      <c r="B100" s="6">
        <v>13</v>
      </c>
      <c r="C100" s="11" t="s">
        <v>212</v>
      </c>
      <c r="D100" s="6">
        <v>1</v>
      </c>
      <c r="E100">
        <v>5</v>
      </c>
      <c r="F100">
        <v>1</v>
      </c>
      <c r="G100" s="44">
        <f>VLOOKUP(表2[[#This Row],[道具ID]],[1]!表1[#Data],10,FALSE)</f>
        <v>0</v>
      </c>
    </row>
    <row r="101" spans="1:7" x14ac:dyDescent="0.15">
      <c r="A101" s="6">
        <f t="shared" si="0"/>
        <v>105</v>
      </c>
      <c r="B101" s="6">
        <v>14</v>
      </c>
      <c r="C101" s="11" t="s">
        <v>86</v>
      </c>
      <c r="D101" s="6">
        <v>1</v>
      </c>
      <c r="E101">
        <v>50</v>
      </c>
      <c r="F101" s="6">
        <v>1</v>
      </c>
      <c r="G101" s="44">
        <f>VLOOKUP(表2[[#This Row],[道具ID]],[1]!表1[#Data],10,FALSE)</f>
        <v>0</v>
      </c>
    </row>
    <row r="102" spans="1:7" x14ac:dyDescent="0.15">
      <c r="A102" s="6">
        <f>A88+1</f>
        <v>106</v>
      </c>
      <c r="B102" s="6">
        <v>1</v>
      </c>
      <c r="C102" s="11" t="s">
        <v>208</v>
      </c>
      <c r="D102" s="6">
        <v>1</v>
      </c>
      <c r="E102">
        <v>500</v>
      </c>
      <c r="F102" s="6">
        <v>1</v>
      </c>
      <c r="G102" s="44">
        <f>VLOOKUP(表2[[#This Row],[道具ID]],[1]!表1[#Data],10,FALSE)</f>
        <v>0</v>
      </c>
    </row>
    <row r="103" spans="1:7" x14ac:dyDescent="0.15">
      <c r="A103" s="6">
        <f t="shared" si="0"/>
        <v>106</v>
      </c>
      <c r="B103" s="6">
        <v>2</v>
      </c>
      <c r="C103" s="8" t="s">
        <v>209</v>
      </c>
      <c r="D103" s="6">
        <v>1</v>
      </c>
      <c r="E103">
        <v>12000</v>
      </c>
      <c r="F103">
        <v>0</v>
      </c>
      <c r="G103" s="44">
        <f>VLOOKUP(表2[[#This Row],[道具ID]],[1]!表1[#Data],10,FALSE)</f>
        <v>0</v>
      </c>
    </row>
    <row r="104" spans="1:7" x14ac:dyDescent="0.15">
      <c r="A104" s="6">
        <f t="shared" si="0"/>
        <v>106</v>
      </c>
      <c r="B104" s="6">
        <v>3</v>
      </c>
      <c r="C104" s="8" t="s">
        <v>210</v>
      </c>
      <c r="D104" s="6">
        <v>1</v>
      </c>
      <c r="E104">
        <v>2000</v>
      </c>
      <c r="F104">
        <v>0</v>
      </c>
      <c r="G104" s="44">
        <f>VLOOKUP(表2[[#This Row],[道具ID]],[1]!表1[#Data],10,FALSE)</f>
        <v>0</v>
      </c>
    </row>
    <row r="105" spans="1:7" x14ac:dyDescent="0.15">
      <c r="A105" s="6">
        <f t="shared" si="0"/>
        <v>106</v>
      </c>
      <c r="B105" s="6">
        <v>4</v>
      </c>
      <c r="C105" s="8" t="s">
        <v>211</v>
      </c>
      <c r="D105" s="6">
        <v>1</v>
      </c>
      <c r="E105">
        <v>10000</v>
      </c>
      <c r="F105" s="6">
        <v>1</v>
      </c>
      <c r="G105" s="44">
        <f>VLOOKUP(表2[[#This Row],[道具ID]],[1]!表1[#Data],10,FALSE)</f>
        <v>0</v>
      </c>
    </row>
    <row r="106" spans="1:7" x14ac:dyDescent="0.15">
      <c r="A106" s="6">
        <f t="shared" si="0"/>
        <v>106</v>
      </c>
      <c r="B106" s="6">
        <v>5</v>
      </c>
      <c r="C106" s="8" t="s">
        <v>83</v>
      </c>
      <c r="D106" s="6">
        <v>1</v>
      </c>
      <c r="E106">
        <v>30000</v>
      </c>
      <c r="F106">
        <v>0</v>
      </c>
      <c r="G106" s="44">
        <f>VLOOKUP(表2[[#This Row],[道具ID]],[1]!表1[#Data],10,FALSE)</f>
        <v>0</v>
      </c>
    </row>
    <row r="107" spans="1:7" x14ac:dyDescent="0.15">
      <c r="A107" s="6">
        <f t="shared" si="0"/>
        <v>106</v>
      </c>
      <c r="B107" s="6">
        <v>6</v>
      </c>
      <c r="C107" s="8" t="s">
        <v>84</v>
      </c>
      <c r="D107" s="6">
        <v>1</v>
      </c>
      <c r="E107">
        <v>11000</v>
      </c>
      <c r="F107">
        <v>1</v>
      </c>
      <c r="G107" s="44">
        <f>VLOOKUP(表2[[#This Row],[道具ID]],[1]!表1[#Data],10,FALSE)</f>
        <v>0</v>
      </c>
    </row>
    <row r="108" spans="1:7" x14ac:dyDescent="0.15">
      <c r="A108" s="6">
        <f t="shared" si="0"/>
        <v>106</v>
      </c>
      <c r="B108" s="6">
        <v>7</v>
      </c>
      <c r="C108" s="8" t="s">
        <v>85</v>
      </c>
      <c r="D108" s="6">
        <v>1</v>
      </c>
      <c r="E108">
        <v>100</v>
      </c>
      <c r="F108">
        <v>1</v>
      </c>
      <c r="G108" s="44">
        <f>VLOOKUP(表2[[#This Row],[道具ID]],[1]!表1[#Data],10,FALSE)</f>
        <v>0</v>
      </c>
    </row>
    <row r="109" spans="1:7" x14ac:dyDescent="0.15">
      <c r="A109" s="6">
        <f t="shared" si="0"/>
        <v>106</v>
      </c>
      <c r="B109" s="6">
        <v>8</v>
      </c>
      <c r="C109" s="8" t="s">
        <v>331</v>
      </c>
      <c r="D109" s="6">
        <v>10</v>
      </c>
      <c r="E109">
        <v>19795</v>
      </c>
      <c r="F109" s="6">
        <v>0</v>
      </c>
      <c r="G109" s="44">
        <f>VLOOKUP(表2[[#This Row],[道具ID]],[1]!表1[#Data],10,FALSE)</f>
        <v>0</v>
      </c>
    </row>
    <row r="110" spans="1:7" x14ac:dyDescent="0.15">
      <c r="A110" s="6">
        <f t="shared" si="0"/>
        <v>106</v>
      </c>
      <c r="B110" s="6">
        <v>9</v>
      </c>
      <c r="C110" s="8" t="s">
        <v>210</v>
      </c>
      <c r="D110" s="6">
        <v>1</v>
      </c>
      <c r="E110">
        <v>2000</v>
      </c>
      <c r="F110" s="6">
        <v>0</v>
      </c>
      <c r="G110" s="44">
        <f>VLOOKUP(表2[[#This Row],[道具ID]],[1]!表1[#Data],10,FALSE)</f>
        <v>0</v>
      </c>
    </row>
    <row r="111" spans="1:7" x14ac:dyDescent="0.15">
      <c r="A111" s="6">
        <f t="shared" ref="A111:A115" si="1">A97+1</f>
        <v>106</v>
      </c>
      <c r="B111" s="6">
        <v>10</v>
      </c>
      <c r="C111" s="8" t="s">
        <v>209</v>
      </c>
      <c r="D111" s="6">
        <v>1</v>
      </c>
      <c r="E111">
        <v>12000</v>
      </c>
      <c r="F111">
        <v>0</v>
      </c>
      <c r="G111" s="44">
        <f>VLOOKUP(表2[[#This Row],[道具ID]],[1]!表1[#Data],10,FALSE)</f>
        <v>0</v>
      </c>
    </row>
    <row r="112" spans="1:7" x14ac:dyDescent="0.15">
      <c r="A112" s="6">
        <f t="shared" si="1"/>
        <v>106</v>
      </c>
      <c r="B112" s="6">
        <v>11</v>
      </c>
      <c r="C112" s="11" t="s">
        <v>208</v>
      </c>
      <c r="D112" s="6">
        <v>1</v>
      </c>
      <c r="E112">
        <v>500</v>
      </c>
      <c r="F112">
        <v>1</v>
      </c>
      <c r="G112" s="44">
        <f>VLOOKUP(表2[[#This Row],[道具ID]],[1]!表1[#Data],10,FALSE)</f>
        <v>0</v>
      </c>
    </row>
    <row r="113" spans="1:7" x14ac:dyDescent="0.15">
      <c r="A113" s="6">
        <f t="shared" si="1"/>
        <v>106</v>
      </c>
      <c r="B113" s="6">
        <v>12</v>
      </c>
      <c r="C113" s="11" t="s">
        <v>86</v>
      </c>
      <c r="D113" s="6">
        <v>1</v>
      </c>
      <c r="E113">
        <v>50</v>
      </c>
      <c r="F113" s="6">
        <v>1</v>
      </c>
      <c r="G113" s="44">
        <f>VLOOKUP(表2[[#This Row],[道具ID]],[1]!表1[#Data],10,FALSE)</f>
        <v>0</v>
      </c>
    </row>
    <row r="114" spans="1:7" x14ac:dyDescent="0.15">
      <c r="A114" s="6">
        <f t="shared" si="1"/>
        <v>106</v>
      </c>
      <c r="B114" s="6">
        <v>13</v>
      </c>
      <c r="C114" s="11" t="s">
        <v>212</v>
      </c>
      <c r="D114" s="6">
        <v>1</v>
      </c>
      <c r="E114">
        <v>5</v>
      </c>
      <c r="F114">
        <v>1</v>
      </c>
      <c r="G114" s="44">
        <f>VLOOKUP(表2[[#This Row],[道具ID]],[1]!表1[#Data],10,FALSE)</f>
        <v>0</v>
      </c>
    </row>
    <row r="115" spans="1:7" x14ac:dyDescent="0.15">
      <c r="A115" s="6">
        <f t="shared" si="1"/>
        <v>106</v>
      </c>
      <c r="B115" s="6">
        <v>14</v>
      </c>
      <c r="C115" s="11" t="s">
        <v>86</v>
      </c>
      <c r="D115" s="6">
        <v>1</v>
      </c>
      <c r="E115">
        <v>50</v>
      </c>
      <c r="F115" s="6">
        <v>1</v>
      </c>
      <c r="G115" s="44">
        <f>VLOOKUP(表2[[#This Row],[道具ID]],[1]!表1[#Data],10,FALSE)</f>
        <v>0</v>
      </c>
    </row>
    <row r="116" spans="1:7" x14ac:dyDescent="0.15">
      <c r="A116" s="6">
        <f>A102+1</f>
        <v>107</v>
      </c>
      <c r="B116" s="6">
        <v>1</v>
      </c>
      <c r="C116" s="11" t="s">
        <v>208</v>
      </c>
      <c r="D116" s="6">
        <v>1</v>
      </c>
      <c r="E116">
        <v>500</v>
      </c>
      <c r="F116" s="6">
        <v>1</v>
      </c>
      <c r="G116" s="44">
        <f>VLOOKUP(表2[[#This Row],[道具ID]],[1]!表1[#Data],10,FALSE)</f>
        <v>0</v>
      </c>
    </row>
    <row r="117" spans="1:7" x14ac:dyDescent="0.15">
      <c r="A117" s="6">
        <f t="shared" ref="A117:A129" si="2">A103+1</f>
        <v>107</v>
      </c>
      <c r="B117" s="6">
        <v>2</v>
      </c>
      <c r="C117" s="8" t="s">
        <v>209</v>
      </c>
      <c r="D117" s="6">
        <v>1</v>
      </c>
      <c r="E117">
        <v>12000</v>
      </c>
      <c r="F117">
        <v>0</v>
      </c>
      <c r="G117" s="44">
        <f>VLOOKUP(表2[[#This Row],[道具ID]],[1]!表1[#Data],10,FALSE)</f>
        <v>0</v>
      </c>
    </row>
    <row r="118" spans="1:7" x14ac:dyDescent="0.15">
      <c r="A118" s="6">
        <f t="shared" si="2"/>
        <v>107</v>
      </c>
      <c r="B118" s="6">
        <v>3</v>
      </c>
      <c r="C118" s="8" t="s">
        <v>210</v>
      </c>
      <c r="D118" s="6">
        <v>1</v>
      </c>
      <c r="E118">
        <v>2000</v>
      </c>
      <c r="F118">
        <v>0</v>
      </c>
      <c r="G118" s="44">
        <f>VLOOKUP(表2[[#This Row],[道具ID]],[1]!表1[#Data],10,FALSE)</f>
        <v>0</v>
      </c>
    </row>
    <row r="119" spans="1:7" x14ac:dyDescent="0.15">
      <c r="A119" s="6">
        <f t="shared" si="2"/>
        <v>107</v>
      </c>
      <c r="B119" s="6">
        <v>4</v>
      </c>
      <c r="C119" s="8" t="s">
        <v>211</v>
      </c>
      <c r="D119" s="6">
        <v>1</v>
      </c>
      <c r="E119">
        <v>10000</v>
      </c>
      <c r="F119" s="6">
        <v>1</v>
      </c>
      <c r="G119" s="44">
        <f>VLOOKUP(表2[[#This Row],[道具ID]],[1]!表1[#Data],10,FALSE)</f>
        <v>0</v>
      </c>
    </row>
    <row r="120" spans="1:7" x14ac:dyDescent="0.15">
      <c r="A120" s="6">
        <f t="shared" si="2"/>
        <v>107</v>
      </c>
      <c r="B120" s="6">
        <v>5</v>
      </c>
      <c r="C120" s="8" t="s">
        <v>83</v>
      </c>
      <c r="D120" s="6">
        <v>1</v>
      </c>
      <c r="E120">
        <v>30000</v>
      </c>
      <c r="F120">
        <v>0</v>
      </c>
      <c r="G120" s="44">
        <f>VLOOKUP(表2[[#This Row],[道具ID]],[1]!表1[#Data],10,FALSE)</f>
        <v>0</v>
      </c>
    </row>
    <row r="121" spans="1:7" x14ac:dyDescent="0.15">
      <c r="A121" s="6">
        <f t="shared" si="2"/>
        <v>107</v>
      </c>
      <c r="B121" s="6">
        <v>6</v>
      </c>
      <c r="C121" s="8" t="s">
        <v>84</v>
      </c>
      <c r="D121" s="6">
        <v>1</v>
      </c>
      <c r="E121">
        <v>11000</v>
      </c>
      <c r="F121">
        <v>1</v>
      </c>
      <c r="G121" s="44">
        <f>VLOOKUP(表2[[#This Row],[道具ID]],[1]!表1[#Data],10,FALSE)</f>
        <v>0</v>
      </c>
    </row>
    <row r="122" spans="1:7" x14ac:dyDescent="0.15">
      <c r="A122" s="6">
        <f t="shared" si="2"/>
        <v>107</v>
      </c>
      <c r="B122" s="6">
        <v>7</v>
      </c>
      <c r="C122" s="8" t="s">
        <v>85</v>
      </c>
      <c r="D122" s="6">
        <v>1</v>
      </c>
      <c r="E122">
        <v>100</v>
      </c>
      <c r="F122">
        <v>1</v>
      </c>
      <c r="G122" s="44">
        <f>VLOOKUP(表2[[#This Row],[道具ID]],[1]!表1[#Data],10,FALSE)</f>
        <v>0</v>
      </c>
    </row>
    <row r="123" spans="1:7" x14ac:dyDescent="0.15">
      <c r="A123" s="6">
        <f t="shared" si="2"/>
        <v>107</v>
      </c>
      <c r="B123" s="6">
        <v>8</v>
      </c>
      <c r="C123" s="8" t="s">
        <v>330</v>
      </c>
      <c r="D123" s="6">
        <v>10</v>
      </c>
      <c r="E123">
        <v>19795</v>
      </c>
      <c r="F123" s="6">
        <v>0</v>
      </c>
      <c r="G123" s="44">
        <f>VLOOKUP(表2[[#This Row],[道具ID]],[1]!表1[#Data],10,FALSE)</f>
        <v>0</v>
      </c>
    </row>
    <row r="124" spans="1:7" x14ac:dyDescent="0.15">
      <c r="A124" s="6">
        <f t="shared" si="2"/>
        <v>107</v>
      </c>
      <c r="B124" s="6">
        <v>9</v>
      </c>
      <c r="C124" s="8" t="s">
        <v>210</v>
      </c>
      <c r="D124" s="6">
        <v>1</v>
      </c>
      <c r="E124">
        <v>2000</v>
      </c>
      <c r="F124" s="6">
        <v>0</v>
      </c>
      <c r="G124" s="44">
        <f>VLOOKUP(表2[[#This Row],[道具ID]],[1]!表1[#Data],10,FALSE)</f>
        <v>0</v>
      </c>
    </row>
    <row r="125" spans="1:7" x14ac:dyDescent="0.15">
      <c r="A125" s="6">
        <f t="shared" si="2"/>
        <v>107</v>
      </c>
      <c r="B125" s="6">
        <v>10</v>
      </c>
      <c r="C125" s="8" t="s">
        <v>209</v>
      </c>
      <c r="D125" s="6">
        <v>1</v>
      </c>
      <c r="E125">
        <v>12000</v>
      </c>
      <c r="F125">
        <v>0</v>
      </c>
      <c r="G125" s="44">
        <f>VLOOKUP(表2[[#This Row],[道具ID]],[1]!表1[#Data],10,FALSE)</f>
        <v>0</v>
      </c>
    </row>
    <row r="126" spans="1:7" x14ac:dyDescent="0.15">
      <c r="A126" s="6">
        <f t="shared" si="2"/>
        <v>107</v>
      </c>
      <c r="B126" s="6">
        <v>11</v>
      </c>
      <c r="C126" s="11" t="s">
        <v>208</v>
      </c>
      <c r="D126" s="6">
        <v>1</v>
      </c>
      <c r="E126">
        <v>500</v>
      </c>
      <c r="F126">
        <v>1</v>
      </c>
      <c r="G126" s="44">
        <f>VLOOKUP(表2[[#This Row],[道具ID]],[1]!表1[#Data],10,FALSE)</f>
        <v>0</v>
      </c>
    </row>
    <row r="127" spans="1:7" x14ac:dyDescent="0.15">
      <c r="A127" s="6">
        <f t="shared" si="2"/>
        <v>107</v>
      </c>
      <c r="B127" s="6">
        <v>12</v>
      </c>
      <c r="C127" s="11" t="s">
        <v>86</v>
      </c>
      <c r="D127" s="6">
        <v>1</v>
      </c>
      <c r="E127">
        <v>50</v>
      </c>
      <c r="F127" s="6">
        <v>1</v>
      </c>
      <c r="G127" s="44">
        <f>VLOOKUP(表2[[#This Row],[道具ID]],[1]!表1[#Data],10,FALSE)</f>
        <v>0</v>
      </c>
    </row>
    <row r="128" spans="1:7" x14ac:dyDescent="0.15">
      <c r="A128" s="6">
        <f t="shared" si="2"/>
        <v>107</v>
      </c>
      <c r="B128" s="6">
        <v>13</v>
      </c>
      <c r="C128" s="11" t="s">
        <v>212</v>
      </c>
      <c r="D128" s="6">
        <v>1</v>
      </c>
      <c r="E128">
        <v>5</v>
      </c>
      <c r="F128">
        <v>1</v>
      </c>
      <c r="G128" s="44">
        <f>VLOOKUP(表2[[#This Row],[道具ID]],[1]!表1[#Data],10,FALSE)</f>
        <v>0</v>
      </c>
    </row>
    <row r="129" spans="1:7" x14ac:dyDescent="0.15">
      <c r="A129" s="6">
        <f t="shared" si="2"/>
        <v>107</v>
      </c>
      <c r="B129" s="6">
        <v>14</v>
      </c>
      <c r="C129" s="11" t="s">
        <v>86</v>
      </c>
      <c r="D129" s="6">
        <v>1</v>
      </c>
      <c r="E129">
        <v>50</v>
      </c>
      <c r="F129" s="6">
        <v>1</v>
      </c>
      <c r="G129" s="44">
        <f>VLOOKUP(表2[[#This Row],[道具ID]],[1]!表1[#Data],10,FALSE)</f>
        <v>0</v>
      </c>
    </row>
    <row r="130" spans="1:7" x14ac:dyDescent="0.15">
      <c r="A130" s="6">
        <f>A116+1</f>
        <v>108</v>
      </c>
      <c r="B130" s="6">
        <v>1</v>
      </c>
      <c r="C130" s="11" t="s">
        <v>208</v>
      </c>
      <c r="D130" s="6">
        <v>1</v>
      </c>
      <c r="E130">
        <v>500</v>
      </c>
      <c r="F130" s="6">
        <v>1</v>
      </c>
      <c r="G130" s="44">
        <f>VLOOKUP(表2[[#This Row],[道具ID]],[1]!表1[#Data],10,FALSE)</f>
        <v>0</v>
      </c>
    </row>
    <row r="131" spans="1:7" x14ac:dyDescent="0.15">
      <c r="A131" s="6">
        <f t="shared" ref="A131:A143" si="3">A117+1</f>
        <v>108</v>
      </c>
      <c r="B131" s="6">
        <v>2</v>
      </c>
      <c r="C131" s="8" t="s">
        <v>209</v>
      </c>
      <c r="D131" s="6">
        <v>1</v>
      </c>
      <c r="E131">
        <v>12000</v>
      </c>
      <c r="F131">
        <v>0</v>
      </c>
      <c r="G131" s="44">
        <f>VLOOKUP(表2[[#This Row],[道具ID]],[1]!表1[#Data],10,FALSE)</f>
        <v>0</v>
      </c>
    </row>
    <row r="132" spans="1:7" x14ac:dyDescent="0.15">
      <c r="A132" s="6">
        <f t="shared" si="3"/>
        <v>108</v>
      </c>
      <c r="B132" s="6">
        <v>3</v>
      </c>
      <c r="C132" s="8" t="s">
        <v>210</v>
      </c>
      <c r="D132" s="6">
        <v>1</v>
      </c>
      <c r="E132">
        <v>2000</v>
      </c>
      <c r="F132">
        <v>0</v>
      </c>
      <c r="G132" s="44">
        <f>VLOOKUP(表2[[#This Row],[道具ID]],[1]!表1[#Data],10,FALSE)</f>
        <v>0</v>
      </c>
    </row>
    <row r="133" spans="1:7" x14ac:dyDescent="0.15">
      <c r="A133" s="6">
        <f t="shared" si="3"/>
        <v>108</v>
      </c>
      <c r="B133" s="6">
        <v>4</v>
      </c>
      <c r="C133" s="8" t="s">
        <v>211</v>
      </c>
      <c r="D133" s="6">
        <v>1</v>
      </c>
      <c r="E133">
        <v>10000</v>
      </c>
      <c r="F133" s="6">
        <v>1</v>
      </c>
      <c r="G133" s="44">
        <f>VLOOKUP(表2[[#This Row],[道具ID]],[1]!表1[#Data],10,FALSE)</f>
        <v>0</v>
      </c>
    </row>
    <row r="134" spans="1:7" x14ac:dyDescent="0.15">
      <c r="A134" s="6">
        <f t="shared" si="3"/>
        <v>108</v>
      </c>
      <c r="B134" s="6">
        <v>5</v>
      </c>
      <c r="C134" s="8" t="s">
        <v>83</v>
      </c>
      <c r="D134" s="6">
        <v>1</v>
      </c>
      <c r="E134">
        <v>30000</v>
      </c>
      <c r="F134">
        <v>0</v>
      </c>
      <c r="G134" s="44">
        <f>VLOOKUP(表2[[#This Row],[道具ID]],[1]!表1[#Data],10,FALSE)</f>
        <v>0</v>
      </c>
    </row>
    <row r="135" spans="1:7" x14ac:dyDescent="0.15">
      <c r="A135" s="6">
        <f t="shared" si="3"/>
        <v>108</v>
      </c>
      <c r="B135" s="6">
        <v>6</v>
      </c>
      <c r="C135" s="8" t="s">
        <v>84</v>
      </c>
      <c r="D135" s="6">
        <v>1</v>
      </c>
      <c r="E135">
        <v>11000</v>
      </c>
      <c r="F135">
        <v>1</v>
      </c>
      <c r="G135" s="44">
        <f>VLOOKUP(表2[[#This Row],[道具ID]],[1]!表1[#Data],10,FALSE)</f>
        <v>0</v>
      </c>
    </row>
    <row r="136" spans="1:7" x14ac:dyDescent="0.15">
      <c r="A136" s="6">
        <f t="shared" si="3"/>
        <v>108</v>
      </c>
      <c r="B136" s="6">
        <v>7</v>
      </c>
      <c r="C136" s="8" t="s">
        <v>85</v>
      </c>
      <c r="D136" s="6">
        <v>1</v>
      </c>
      <c r="E136">
        <v>100</v>
      </c>
      <c r="F136">
        <v>1</v>
      </c>
      <c r="G136" s="44">
        <f>VLOOKUP(表2[[#This Row],[道具ID]],[1]!表1[#Data],10,FALSE)</f>
        <v>0</v>
      </c>
    </row>
    <row r="137" spans="1:7" x14ac:dyDescent="0.15">
      <c r="A137" s="6">
        <f t="shared" si="3"/>
        <v>108</v>
      </c>
      <c r="B137" s="6">
        <v>8</v>
      </c>
      <c r="C137" s="8" t="s">
        <v>329</v>
      </c>
      <c r="D137" s="6">
        <v>10</v>
      </c>
      <c r="E137">
        <v>19795</v>
      </c>
      <c r="F137" s="6">
        <v>0</v>
      </c>
      <c r="G137" s="44">
        <f>VLOOKUP(表2[[#This Row],[道具ID]],[1]!表1[#Data],10,FALSE)</f>
        <v>0</v>
      </c>
    </row>
    <row r="138" spans="1:7" x14ac:dyDescent="0.15">
      <c r="A138" s="6">
        <f t="shared" si="3"/>
        <v>108</v>
      </c>
      <c r="B138" s="6">
        <v>9</v>
      </c>
      <c r="C138" s="8" t="s">
        <v>210</v>
      </c>
      <c r="D138" s="6">
        <v>1</v>
      </c>
      <c r="E138">
        <v>2000</v>
      </c>
      <c r="F138" s="6">
        <v>0</v>
      </c>
      <c r="G138" s="44">
        <f>VLOOKUP(表2[[#This Row],[道具ID]],[1]!表1[#Data],10,FALSE)</f>
        <v>0</v>
      </c>
    </row>
    <row r="139" spans="1:7" x14ac:dyDescent="0.15">
      <c r="A139" s="6">
        <f t="shared" si="3"/>
        <v>108</v>
      </c>
      <c r="B139" s="6">
        <v>10</v>
      </c>
      <c r="C139" s="8" t="s">
        <v>209</v>
      </c>
      <c r="D139" s="6">
        <v>1</v>
      </c>
      <c r="E139">
        <v>12000</v>
      </c>
      <c r="F139">
        <v>0</v>
      </c>
      <c r="G139" s="44">
        <f>VLOOKUP(表2[[#This Row],[道具ID]],[1]!表1[#Data],10,FALSE)</f>
        <v>0</v>
      </c>
    </row>
    <row r="140" spans="1:7" x14ac:dyDescent="0.15">
      <c r="A140" s="6">
        <f t="shared" si="3"/>
        <v>108</v>
      </c>
      <c r="B140" s="6">
        <v>11</v>
      </c>
      <c r="C140" s="11" t="s">
        <v>208</v>
      </c>
      <c r="D140" s="6">
        <v>1</v>
      </c>
      <c r="E140">
        <v>500</v>
      </c>
      <c r="F140">
        <v>1</v>
      </c>
      <c r="G140" s="44">
        <f>VLOOKUP(表2[[#This Row],[道具ID]],[1]!表1[#Data],10,FALSE)</f>
        <v>0</v>
      </c>
    </row>
    <row r="141" spans="1:7" x14ac:dyDescent="0.15">
      <c r="A141" s="6">
        <f t="shared" si="3"/>
        <v>108</v>
      </c>
      <c r="B141" s="6">
        <v>12</v>
      </c>
      <c r="C141" s="11" t="s">
        <v>86</v>
      </c>
      <c r="D141" s="6">
        <v>1</v>
      </c>
      <c r="E141">
        <v>50</v>
      </c>
      <c r="F141" s="6">
        <v>1</v>
      </c>
      <c r="G141" s="44">
        <f>VLOOKUP(表2[[#This Row],[道具ID]],[1]!表1[#Data],10,FALSE)</f>
        <v>0</v>
      </c>
    </row>
    <row r="142" spans="1:7" x14ac:dyDescent="0.15">
      <c r="A142" s="6">
        <f t="shared" si="3"/>
        <v>108</v>
      </c>
      <c r="B142" s="6">
        <v>13</v>
      </c>
      <c r="C142" s="11" t="s">
        <v>212</v>
      </c>
      <c r="D142" s="6">
        <v>1</v>
      </c>
      <c r="E142">
        <v>5</v>
      </c>
      <c r="F142">
        <v>1</v>
      </c>
      <c r="G142" s="44">
        <f>VLOOKUP(表2[[#This Row],[道具ID]],[1]!表1[#Data],10,FALSE)</f>
        <v>0</v>
      </c>
    </row>
    <row r="143" spans="1:7" x14ac:dyDescent="0.15">
      <c r="A143" s="6">
        <f t="shared" si="3"/>
        <v>108</v>
      </c>
      <c r="B143" s="6">
        <v>14</v>
      </c>
      <c r="C143" s="11" t="s">
        <v>86</v>
      </c>
      <c r="D143" s="6">
        <v>1</v>
      </c>
      <c r="E143">
        <v>50</v>
      </c>
      <c r="F143" s="6">
        <v>1</v>
      </c>
      <c r="G143" s="44">
        <f>VLOOKUP(表2[[#This Row],[道具ID]],[1]!表1[#Data],10,FALSE)</f>
        <v>0</v>
      </c>
    </row>
    <row r="144" spans="1:7" x14ac:dyDescent="0.15">
      <c r="A144" s="6">
        <f>A130+1</f>
        <v>109</v>
      </c>
      <c r="B144" s="6">
        <v>1</v>
      </c>
      <c r="C144" s="11" t="s">
        <v>208</v>
      </c>
      <c r="D144" s="6">
        <v>1</v>
      </c>
      <c r="E144">
        <v>500</v>
      </c>
      <c r="F144" s="6">
        <v>1</v>
      </c>
      <c r="G144" s="44">
        <f>VLOOKUP(表2[[#This Row],[道具ID]],[1]!表1[#Data],10,FALSE)</f>
        <v>0</v>
      </c>
    </row>
    <row r="145" spans="1:7" x14ac:dyDescent="0.15">
      <c r="A145" s="6">
        <f t="shared" ref="A145:A157" si="4">A131+1</f>
        <v>109</v>
      </c>
      <c r="B145" s="6">
        <v>2</v>
      </c>
      <c r="C145" s="8" t="s">
        <v>209</v>
      </c>
      <c r="D145" s="6">
        <v>1</v>
      </c>
      <c r="E145">
        <v>12000</v>
      </c>
      <c r="F145">
        <v>0</v>
      </c>
      <c r="G145" s="44">
        <f>VLOOKUP(表2[[#This Row],[道具ID]],[1]!表1[#Data],10,FALSE)</f>
        <v>0</v>
      </c>
    </row>
    <row r="146" spans="1:7" x14ac:dyDescent="0.15">
      <c r="A146" s="6">
        <f t="shared" si="4"/>
        <v>109</v>
      </c>
      <c r="B146" s="6">
        <v>3</v>
      </c>
      <c r="C146" s="8" t="s">
        <v>210</v>
      </c>
      <c r="D146" s="6">
        <v>1</v>
      </c>
      <c r="E146">
        <v>2000</v>
      </c>
      <c r="F146">
        <v>0</v>
      </c>
      <c r="G146" s="44">
        <f>VLOOKUP(表2[[#This Row],[道具ID]],[1]!表1[#Data],10,FALSE)</f>
        <v>0</v>
      </c>
    </row>
    <row r="147" spans="1:7" x14ac:dyDescent="0.15">
      <c r="A147" s="6">
        <f t="shared" si="4"/>
        <v>109</v>
      </c>
      <c r="B147" s="6">
        <v>4</v>
      </c>
      <c r="C147" s="8" t="s">
        <v>211</v>
      </c>
      <c r="D147" s="6">
        <v>1</v>
      </c>
      <c r="E147">
        <v>10000</v>
      </c>
      <c r="F147" s="6">
        <v>1</v>
      </c>
      <c r="G147" s="44">
        <f>VLOOKUP(表2[[#This Row],[道具ID]],[1]!表1[#Data],10,FALSE)</f>
        <v>0</v>
      </c>
    </row>
    <row r="148" spans="1:7" x14ac:dyDescent="0.15">
      <c r="A148" s="6">
        <f t="shared" si="4"/>
        <v>109</v>
      </c>
      <c r="B148" s="6">
        <v>5</v>
      </c>
      <c r="C148" s="8" t="s">
        <v>83</v>
      </c>
      <c r="D148" s="6">
        <v>1</v>
      </c>
      <c r="E148">
        <v>30000</v>
      </c>
      <c r="F148">
        <v>0</v>
      </c>
      <c r="G148" s="44">
        <f>VLOOKUP(表2[[#This Row],[道具ID]],[1]!表1[#Data],10,FALSE)</f>
        <v>0</v>
      </c>
    </row>
    <row r="149" spans="1:7" x14ac:dyDescent="0.15">
      <c r="A149" s="6">
        <f t="shared" si="4"/>
        <v>109</v>
      </c>
      <c r="B149" s="6">
        <v>6</v>
      </c>
      <c r="C149" s="8" t="s">
        <v>84</v>
      </c>
      <c r="D149" s="6">
        <v>1</v>
      </c>
      <c r="E149">
        <v>11000</v>
      </c>
      <c r="F149">
        <v>1</v>
      </c>
      <c r="G149" s="44">
        <f>VLOOKUP(表2[[#This Row],[道具ID]],[1]!表1[#Data],10,FALSE)</f>
        <v>0</v>
      </c>
    </row>
    <row r="150" spans="1:7" x14ac:dyDescent="0.15">
      <c r="A150" s="6">
        <f t="shared" si="4"/>
        <v>109</v>
      </c>
      <c r="B150" s="6">
        <v>7</v>
      </c>
      <c r="C150" s="8" t="s">
        <v>85</v>
      </c>
      <c r="D150" s="6">
        <v>1</v>
      </c>
      <c r="E150">
        <v>100</v>
      </c>
      <c r="F150">
        <v>1</v>
      </c>
      <c r="G150" s="44">
        <f>VLOOKUP(表2[[#This Row],[道具ID]],[1]!表1[#Data],10,FALSE)</f>
        <v>0</v>
      </c>
    </row>
    <row r="151" spans="1:7" x14ac:dyDescent="0.15">
      <c r="A151" s="6">
        <f t="shared" si="4"/>
        <v>109</v>
      </c>
      <c r="B151" s="6">
        <v>8</v>
      </c>
      <c r="C151" s="8" t="s">
        <v>328</v>
      </c>
      <c r="D151" s="6">
        <v>10</v>
      </c>
      <c r="E151">
        <v>19795</v>
      </c>
      <c r="F151" s="6">
        <v>0</v>
      </c>
      <c r="G151" s="44">
        <f>VLOOKUP(表2[[#This Row],[道具ID]],[1]!表1[#Data],10,FALSE)</f>
        <v>0</v>
      </c>
    </row>
    <row r="152" spans="1:7" x14ac:dyDescent="0.15">
      <c r="A152" s="6">
        <f t="shared" si="4"/>
        <v>109</v>
      </c>
      <c r="B152" s="6">
        <v>9</v>
      </c>
      <c r="C152" s="8" t="s">
        <v>210</v>
      </c>
      <c r="D152" s="6">
        <v>1</v>
      </c>
      <c r="E152">
        <v>2000</v>
      </c>
      <c r="F152" s="6">
        <v>0</v>
      </c>
      <c r="G152" s="44">
        <f>VLOOKUP(表2[[#This Row],[道具ID]],[1]!表1[#Data],10,FALSE)</f>
        <v>0</v>
      </c>
    </row>
    <row r="153" spans="1:7" x14ac:dyDescent="0.15">
      <c r="A153" s="6">
        <f t="shared" si="4"/>
        <v>109</v>
      </c>
      <c r="B153" s="6">
        <v>10</v>
      </c>
      <c r="C153" s="8" t="s">
        <v>209</v>
      </c>
      <c r="D153" s="6">
        <v>1</v>
      </c>
      <c r="E153">
        <v>12000</v>
      </c>
      <c r="F153">
        <v>0</v>
      </c>
      <c r="G153" s="44">
        <f>VLOOKUP(表2[[#This Row],[道具ID]],[1]!表1[#Data],10,FALSE)</f>
        <v>0</v>
      </c>
    </row>
    <row r="154" spans="1:7" x14ac:dyDescent="0.15">
      <c r="A154" s="6">
        <f t="shared" si="4"/>
        <v>109</v>
      </c>
      <c r="B154" s="6">
        <v>11</v>
      </c>
      <c r="C154" s="11" t="s">
        <v>208</v>
      </c>
      <c r="D154" s="6">
        <v>1</v>
      </c>
      <c r="E154">
        <v>500</v>
      </c>
      <c r="F154">
        <v>1</v>
      </c>
      <c r="G154" s="44">
        <f>VLOOKUP(表2[[#This Row],[道具ID]],[1]!表1[#Data],10,FALSE)</f>
        <v>0</v>
      </c>
    </row>
    <row r="155" spans="1:7" x14ac:dyDescent="0.15">
      <c r="A155" s="6">
        <f t="shared" si="4"/>
        <v>109</v>
      </c>
      <c r="B155" s="6">
        <v>12</v>
      </c>
      <c r="C155" s="11" t="s">
        <v>86</v>
      </c>
      <c r="D155" s="6">
        <v>1</v>
      </c>
      <c r="E155">
        <v>50</v>
      </c>
      <c r="F155" s="6">
        <v>1</v>
      </c>
      <c r="G155" s="44">
        <f>VLOOKUP(表2[[#This Row],[道具ID]],[1]!表1[#Data],10,FALSE)</f>
        <v>0</v>
      </c>
    </row>
    <row r="156" spans="1:7" x14ac:dyDescent="0.15">
      <c r="A156" s="6">
        <f t="shared" si="4"/>
        <v>109</v>
      </c>
      <c r="B156" s="6">
        <v>13</v>
      </c>
      <c r="C156" s="11" t="s">
        <v>212</v>
      </c>
      <c r="D156" s="6">
        <v>1</v>
      </c>
      <c r="E156">
        <v>5</v>
      </c>
      <c r="F156">
        <v>1</v>
      </c>
      <c r="G156" s="44">
        <f>VLOOKUP(表2[[#This Row],[道具ID]],[1]!表1[#Data],10,FALSE)</f>
        <v>0</v>
      </c>
    </row>
    <row r="157" spans="1:7" x14ac:dyDescent="0.15">
      <c r="A157" s="6">
        <f t="shared" si="4"/>
        <v>109</v>
      </c>
      <c r="B157" s="6">
        <v>14</v>
      </c>
      <c r="C157" s="11" t="s">
        <v>86</v>
      </c>
      <c r="D157" s="6">
        <v>1</v>
      </c>
      <c r="E157">
        <v>50</v>
      </c>
      <c r="F157" s="6">
        <v>1</v>
      </c>
      <c r="G157" s="44">
        <f>VLOOKUP(表2[[#This Row],[道具ID]],[1]!表1[#Data],10,FALSE)</f>
        <v>0</v>
      </c>
    </row>
    <row r="158" spans="1:7" x14ac:dyDescent="0.15">
      <c r="A158" s="6">
        <f>A144+1</f>
        <v>110</v>
      </c>
      <c r="B158" s="6">
        <v>1</v>
      </c>
      <c r="C158" s="11" t="s">
        <v>208</v>
      </c>
      <c r="D158" s="6">
        <v>1</v>
      </c>
      <c r="E158">
        <v>500</v>
      </c>
      <c r="F158" s="6">
        <v>1</v>
      </c>
      <c r="G158" s="44">
        <f>VLOOKUP(表2[[#This Row],[道具ID]],[1]!表1[#Data],10,FALSE)</f>
        <v>0</v>
      </c>
    </row>
    <row r="159" spans="1:7" x14ac:dyDescent="0.15">
      <c r="A159" s="6">
        <f t="shared" ref="A159:A171" si="5">A145+1</f>
        <v>110</v>
      </c>
      <c r="B159" s="6">
        <v>2</v>
      </c>
      <c r="C159" s="8" t="s">
        <v>209</v>
      </c>
      <c r="D159" s="6">
        <v>1</v>
      </c>
      <c r="E159">
        <v>12000</v>
      </c>
      <c r="F159">
        <v>0</v>
      </c>
      <c r="G159" s="44">
        <f>VLOOKUP(表2[[#This Row],[道具ID]],[1]!表1[#Data],10,FALSE)</f>
        <v>0</v>
      </c>
    </row>
    <row r="160" spans="1:7" x14ac:dyDescent="0.15">
      <c r="A160" s="6">
        <f t="shared" si="5"/>
        <v>110</v>
      </c>
      <c r="B160" s="6">
        <v>3</v>
      </c>
      <c r="C160" s="8" t="s">
        <v>210</v>
      </c>
      <c r="D160" s="6">
        <v>1</v>
      </c>
      <c r="E160">
        <v>2000</v>
      </c>
      <c r="F160">
        <v>0</v>
      </c>
      <c r="G160" s="44">
        <f>VLOOKUP(表2[[#This Row],[道具ID]],[1]!表1[#Data],10,FALSE)</f>
        <v>0</v>
      </c>
    </row>
    <row r="161" spans="1:7" x14ac:dyDescent="0.15">
      <c r="A161" s="6">
        <f t="shared" si="5"/>
        <v>110</v>
      </c>
      <c r="B161" s="6">
        <v>4</v>
      </c>
      <c r="C161" s="8" t="s">
        <v>211</v>
      </c>
      <c r="D161" s="6">
        <v>1</v>
      </c>
      <c r="E161">
        <v>10000</v>
      </c>
      <c r="F161" s="6">
        <v>1</v>
      </c>
      <c r="G161" s="44">
        <f>VLOOKUP(表2[[#This Row],[道具ID]],[1]!表1[#Data],10,FALSE)</f>
        <v>0</v>
      </c>
    </row>
    <row r="162" spans="1:7" x14ac:dyDescent="0.15">
      <c r="A162" s="6">
        <f t="shared" si="5"/>
        <v>110</v>
      </c>
      <c r="B162" s="6">
        <v>5</v>
      </c>
      <c r="C162" s="8" t="s">
        <v>83</v>
      </c>
      <c r="D162" s="6">
        <v>1</v>
      </c>
      <c r="E162">
        <v>30000</v>
      </c>
      <c r="F162">
        <v>0</v>
      </c>
      <c r="G162" s="44">
        <f>VLOOKUP(表2[[#This Row],[道具ID]],[1]!表1[#Data],10,FALSE)</f>
        <v>0</v>
      </c>
    </row>
    <row r="163" spans="1:7" x14ac:dyDescent="0.15">
      <c r="A163" s="6">
        <f t="shared" si="5"/>
        <v>110</v>
      </c>
      <c r="B163" s="6">
        <v>6</v>
      </c>
      <c r="C163" s="8" t="s">
        <v>84</v>
      </c>
      <c r="D163" s="6">
        <v>1</v>
      </c>
      <c r="E163">
        <v>11000</v>
      </c>
      <c r="F163">
        <v>1</v>
      </c>
      <c r="G163" s="44">
        <f>VLOOKUP(表2[[#This Row],[道具ID]],[1]!表1[#Data],10,FALSE)</f>
        <v>0</v>
      </c>
    </row>
    <row r="164" spans="1:7" x14ac:dyDescent="0.15">
      <c r="A164" s="6">
        <f t="shared" si="5"/>
        <v>110</v>
      </c>
      <c r="B164" s="6">
        <v>7</v>
      </c>
      <c r="C164" s="8" t="s">
        <v>85</v>
      </c>
      <c r="D164" s="6">
        <v>1</v>
      </c>
      <c r="E164">
        <v>100</v>
      </c>
      <c r="F164">
        <v>1</v>
      </c>
      <c r="G164" s="44">
        <f>VLOOKUP(表2[[#This Row],[道具ID]],[1]!表1[#Data],10,FALSE)</f>
        <v>0</v>
      </c>
    </row>
    <row r="165" spans="1:7" x14ac:dyDescent="0.15">
      <c r="A165" s="6">
        <f t="shared" si="5"/>
        <v>110</v>
      </c>
      <c r="B165" s="6">
        <v>8</v>
      </c>
      <c r="C165" s="8" t="s">
        <v>327</v>
      </c>
      <c r="D165" s="6">
        <v>10</v>
      </c>
      <c r="E165">
        <v>19795</v>
      </c>
      <c r="F165" s="6">
        <v>0</v>
      </c>
      <c r="G165" s="44">
        <f>VLOOKUP(表2[[#This Row],[道具ID]],[1]!表1[#Data],10,FALSE)</f>
        <v>0</v>
      </c>
    </row>
    <row r="166" spans="1:7" x14ac:dyDescent="0.15">
      <c r="A166" s="6">
        <f t="shared" si="5"/>
        <v>110</v>
      </c>
      <c r="B166" s="6">
        <v>9</v>
      </c>
      <c r="C166" s="8" t="s">
        <v>210</v>
      </c>
      <c r="D166" s="6">
        <v>1</v>
      </c>
      <c r="E166">
        <v>2000</v>
      </c>
      <c r="F166" s="6">
        <v>0</v>
      </c>
      <c r="G166" s="44">
        <f>VLOOKUP(表2[[#This Row],[道具ID]],[1]!表1[#Data],10,FALSE)</f>
        <v>0</v>
      </c>
    </row>
    <row r="167" spans="1:7" x14ac:dyDescent="0.15">
      <c r="A167" s="6">
        <f t="shared" si="5"/>
        <v>110</v>
      </c>
      <c r="B167" s="6">
        <v>10</v>
      </c>
      <c r="C167" s="8" t="s">
        <v>209</v>
      </c>
      <c r="D167" s="6">
        <v>1</v>
      </c>
      <c r="E167">
        <v>12000</v>
      </c>
      <c r="F167">
        <v>0</v>
      </c>
      <c r="G167" s="44">
        <f>VLOOKUP(表2[[#This Row],[道具ID]],[1]!表1[#Data],10,FALSE)</f>
        <v>0</v>
      </c>
    </row>
    <row r="168" spans="1:7" x14ac:dyDescent="0.15">
      <c r="A168" s="6">
        <f t="shared" si="5"/>
        <v>110</v>
      </c>
      <c r="B168" s="6">
        <v>11</v>
      </c>
      <c r="C168" s="11" t="s">
        <v>208</v>
      </c>
      <c r="D168" s="6">
        <v>1</v>
      </c>
      <c r="E168">
        <v>500</v>
      </c>
      <c r="F168">
        <v>1</v>
      </c>
      <c r="G168" s="44">
        <f>VLOOKUP(表2[[#This Row],[道具ID]],[1]!表1[#Data],10,FALSE)</f>
        <v>0</v>
      </c>
    </row>
    <row r="169" spans="1:7" x14ac:dyDescent="0.15">
      <c r="A169" s="6">
        <f t="shared" si="5"/>
        <v>110</v>
      </c>
      <c r="B169" s="6">
        <v>12</v>
      </c>
      <c r="C169" s="11" t="s">
        <v>86</v>
      </c>
      <c r="D169" s="6">
        <v>1</v>
      </c>
      <c r="E169">
        <v>50</v>
      </c>
      <c r="F169" s="6">
        <v>1</v>
      </c>
      <c r="G169" s="44">
        <f>VLOOKUP(表2[[#This Row],[道具ID]],[1]!表1[#Data],10,FALSE)</f>
        <v>0</v>
      </c>
    </row>
    <row r="170" spans="1:7" x14ac:dyDescent="0.15">
      <c r="A170" s="6">
        <f t="shared" si="5"/>
        <v>110</v>
      </c>
      <c r="B170" s="6">
        <v>13</v>
      </c>
      <c r="C170" s="11" t="s">
        <v>212</v>
      </c>
      <c r="D170" s="6">
        <v>1</v>
      </c>
      <c r="E170">
        <v>5</v>
      </c>
      <c r="F170">
        <v>1</v>
      </c>
      <c r="G170" s="44">
        <f>VLOOKUP(表2[[#This Row],[道具ID]],[1]!表1[#Data],10,FALSE)</f>
        <v>0</v>
      </c>
    </row>
    <row r="171" spans="1:7" x14ac:dyDescent="0.15">
      <c r="A171" s="6">
        <f t="shared" si="5"/>
        <v>110</v>
      </c>
      <c r="B171" s="6">
        <v>14</v>
      </c>
      <c r="C171" s="11" t="s">
        <v>86</v>
      </c>
      <c r="D171" s="6">
        <v>1</v>
      </c>
      <c r="E171">
        <v>50</v>
      </c>
      <c r="F171" s="6">
        <v>1</v>
      </c>
      <c r="G171" s="44">
        <f>VLOOKUP(表2[[#This Row],[道具ID]],[1]!表1[#Data],10,FALSE)</f>
        <v>0</v>
      </c>
    </row>
    <row r="172" spans="1:7" x14ac:dyDescent="0.15">
      <c r="A172" s="6">
        <f>A158+1</f>
        <v>111</v>
      </c>
      <c r="B172" s="6">
        <v>1</v>
      </c>
      <c r="C172" s="11" t="s">
        <v>208</v>
      </c>
      <c r="D172" s="6">
        <v>1</v>
      </c>
      <c r="E172">
        <v>500</v>
      </c>
      <c r="F172" s="6">
        <v>1</v>
      </c>
      <c r="G172" s="44">
        <f>VLOOKUP(表2[[#This Row],[道具ID]],[1]!表1[#Data],10,FALSE)</f>
        <v>0</v>
      </c>
    </row>
    <row r="173" spans="1:7" x14ac:dyDescent="0.15">
      <c r="A173" s="6">
        <f t="shared" ref="A173:A185" si="6">A159+1</f>
        <v>111</v>
      </c>
      <c r="B173" s="6">
        <v>2</v>
      </c>
      <c r="C173" s="8" t="s">
        <v>209</v>
      </c>
      <c r="D173" s="6">
        <v>1</v>
      </c>
      <c r="E173">
        <v>12000</v>
      </c>
      <c r="F173">
        <v>0</v>
      </c>
      <c r="G173" s="44">
        <f>VLOOKUP(表2[[#This Row],[道具ID]],[1]!表1[#Data],10,FALSE)</f>
        <v>0</v>
      </c>
    </row>
    <row r="174" spans="1:7" x14ac:dyDescent="0.15">
      <c r="A174" s="6">
        <f t="shared" si="6"/>
        <v>111</v>
      </c>
      <c r="B174" s="6">
        <v>3</v>
      </c>
      <c r="C174" s="8" t="s">
        <v>210</v>
      </c>
      <c r="D174" s="6">
        <v>1</v>
      </c>
      <c r="E174">
        <v>2000</v>
      </c>
      <c r="F174">
        <v>0</v>
      </c>
      <c r="G174" s="44">
        <f>VLOOKUP(表2[[#This Row],[道具ID]],[1]!表1[#Data],10,FALSE)</f>
        <v>0</v>
      </c>
    </row>
    <row r="175" spans="1:7" x14ac:dyDescent="0.15">
      <c r="A175" s="6">
        <f t="shared" si="6"/>
        <v>111</v>
      </c>
      <c r="B175" s="6">
        <v>4</v>
      </c>
      <c r="C175" s="8" t="s">
        <v>211</v>
      </c>
      <c r="D175" s="6">
        <v>1</v>
      </c>
      <c r="E175">
        <v>10000</v>
      </c>
      <c r="F175" s="6">
        <v>1</v>
      </c>
      <c r="G175" s="44">
        <f>VLOOKUP(表2[[#This Row],[道具ID]],[1]!表1[#Data],10,FALSE)</f>
        <v>0</v>
      </c>
    </row>
    <row r="176" spans="1:7" x14ac:dyDescent="0.15">
      <c r="A176" s="6">
        <f t="shared" si="6"/>
        <v>111</v>
      </c>
      <c r="B176" s="6">
        <v>5</v>
      </c>
      <c r="C176" s="8" t="s">
        <v>83</v>
      </c>
      <c r="D176" s="6">
        <v>1</v>
      </c>
      <c r="E176">
        <v>30000</v>
      </c>
      <c r="F176">
        <v>0</v>
      </c>
      <c r="G176" s="44">
        <f>VLOOKUP(表2[[#This Row],[道具ID]],[1]!表1[#Data],10,FALSE)</f>
        <v>0</v>
      </c>
    </row>
    <row r="177" spans="1:7" x14ac:dyDescent="0.15">
      <c r="A177" s="6">
        <f t="shared" si="6"/>
        <v>111</v>
      </c>
      <c r="B177" s="6">
        <v>6</v>
      </c>
      <c r="C177" s="8" t="s">
        <v>84</v>
      </c>
      <c r="D177" s="6">
        <v>1</v>
      </c>
      <c r="E177">
        <v>11000</v>
      </c>
      <c r="F177">
        <v>1</v>
      </c>
      <c r="G177" s="44">
        <f>VLOOKUP(表2[[#This Row],[道具ID]],[1]!表1[#Data],10,FALSE)</f>
        <v>0</v>
      </c>
    </row>
    <row r="178" spans="1:7" x14ac:dyDescent="0.15">
      <c r="A178" s="6">
        <f t="shared" si="6"/>
        <v>111</v>
      </c>
      <c r="B178" s="6">
        <v>7</v>
      </c>
      <c r="C178" s="8" t="s">
        <v>85</v>
      </c>
      <c r="D178" s="6">
        <v>1</v>
      </c>
      <c r="E178">
        <v>100</v>
      </c>
      <c r="F178">
        <v>1</v>
      </c>
      <c r="G178" s="44">
        <f>VLOOKUP(表2[[#This Row],[道具ID]],[1]!表1[#Data],10,FALSE)</f>
        <v>0</v>
      </c>
    </row>
    <row r="179" spans="1:7" x14ac:dyDescent="0.15">
      <c r="A179" s="6">
        <f t="shared" si="6"/>
        <v>111</v>
      </c>
      <c r="B179" s="6">
        <v>8</v>
      </c>
      <c r="C179" s="8" t="s">
        <v>326</v>
      </c>
      <c r="D179" s="6">
        <v>10</v>
      </c>
      <c r="E179">
        <v>19795</v>
      </c>
      <c r="F179" s="6">
        <v>0</v>
      </c>
      <c r="G179" s="44">
        <f>VLOOKUP(表2[[#This Row],[道具ID]],[1]!表1[#Data],10,FALSE)</f>
        <v>0</v>
      </c>
    </row>
    <row r="180" spans="1:7" x14ac:dyDescent="0.15">
      <c r="A180" s="6">
        <f t="shared" si="6"/>
        <v>111</v>
      </c>
      <c r="B180" s="6">
        <v>9</v>
      </c>
      <c r="C180" s="8" t="s">
        <v>210</v>
      </c>
      <c r="D180" s="6">
        <v>1</v>
      </c>
      <c r="E180">
        <v>2000</v>
      </c>
      <c r="F180" s="6">
        <v>0</v>
      </c>
      <c r="G180" s="44">
        <f>VLOOKUP(表2[[#This Row],[道具ID]],[1]!表1[#Data],10,FALSE)</f>
        <v>0</v>
      </c>
    </row>
    <row r="181" spans="1:7" x14ac:dyDescent="0.15">
      <c r="A181" s="6">
        <f t="shared" si="6"/>
        <v>111</v>
      </c>
      <c r="B181" s="6">
        <v>10</v>
      </c>
      <c r="C181" s="8" t="s">
        <v>209</v>
      </c>
      <c r="D181" s="6">
        <v>1</v>
      </c>
      <c r="E181">
        <v>12000</v>
      </c>
      <c r="F181">
        <v>0</v>
      </c>
      <c r="G181" s="44">
        <f>VLOOKUP(表2[[#This Row],[道具ID]],[1]!表1[#Data],10,FALSE)</f>
        <v>0</v>
      </c>
    </row>
    <row r="182" spans="1:7" x14ac:dyDescent="0.15">
      <c r="A182" s="6">
        <f t="shared" si="6"/>
        <v>111</v>
      </c>
      <c r="B182" s="6">
        <v>11</v>
      </c>
      <c r="C182" s="11" t="s">
        <v>208</v>
      </c>
      <c r="D182" s="6">
        <v>1</v>
      </c>
      <c r="E182">
        <v>500</v>
      </c>
      <c r="F182">
        <v>1</v>
      </c>
      <c r="G182" s="44">
        <f>VLOOKUP(表2[[#This Row],[道具ID]],[1]!表1[#Data],10,FALSE)</f>
        <v>0</v>
      </c>
    </row>
    <row r="183" spans="1:7" x14ac:dyDescent="0.15">
      <c r="A183" s="6">
        <f t="shared" si="6"/>
        <v>111</v>
      </c>
      <c r="B183" s="6">
        <v>12</v>
      </c>
      <c r="C183" s="11" t="s">
        <v>86</v>
      </c>
      <c r="D183" s="6">
        <v>1</v>
      </c>
      <c r="E183">
        <v>50</v>
      </c>
      <c r="F183" s="6">
        <v>1</v>
      </c>
      <c r="G183" s="44">
        <f>VLOOKUP(表2[[#This Row],[道具ID]],[1]!表1[#Data],10,FALSE)</f>
        <v>0</v>
      </c>
    </row>
    <row r="184" spans="1:7" x14ac:dyDescent="0.15">
      <c r="A184" s="6">
        <f t="shared" si="6"/>
        <v>111</v>
      </c>
      <c r="B184" s="6">
        <v>13</v>
      </c>
      <c r="C184" s="11" t="s">
        <v>212</v>
      </c>
      <c r="D184" s="6">
        <v>1</v>
      </c>
      <c r="E184">
        <v>5</v>
      </c>
      <c r="F184">
        <v>1</v>
      </c>
      <c r="G184" s="44">
        <f>VLOOKUP(表2[[#This Row],[道具ID]],[1]!表1[#Data],10,FALSE)</f>
        <v>0</v>
      </c>
    </row>
    <row r="185" spans="1:7" x14ac:dyDescent="0.15">
      <c r="A185" s="6">
        <f t="shared" si="6"/>
        <v>111</v>
      </c>
      <c r="B185" s="6">
        <v>14</v>
      </c>
      <c r="C185" s="11" t="s">
        <v>86</v>
      </c>
      <c r="D185" s="6">
        <v>1</v>
      </c>
      <c r="E185">
        <v>50</v>
      </c>
      <c r="F185" s="6">
        <v>1</v>
      </c>
      <c r="G185" s="44">
        <f>VLOOKUP(表2[[#This Row],[道具ID]],[1]!表1[#Data],10,FALSE)</f>
        <v>0</v>
      </c>
    </row>
    <row r="186" spans="1:7" x14ac:dyDescent="0.15">
      <c r="A186" s="6">
        <f>A172+1</f>
        <v>112</v>
      </c>
      <c r="B186" s="6">
        <v>1</v>
      </c>
      <c r="C186" s="11" t="s">
        <v>208</v>
      </c>
      <c r="D186" s="6">
        <v>1</v>
      </c>
      <c r="E186">
        <v>500</v>
      </c>
      <c r="F186" s="6">
        <v>1</v>
      </c>
      <c r="G186" s="44">
        <f>VLOOKUP(表2[[#This Row],[道具ID]],[1]!表1[#Data],10,FALSE)</f>
        <v>0</v>
      </c>
    </row>
    <row r="187" spans="1:7" x14ac:dyDescent="0.15">
      <c r="A187" s="6">
        <f t="shared" ref="A187:A199" si="7">A173+1</f>
        <v>112</v>
      </c>
      <c r="B187" s="6">
        <v>2</v>
      </c>
      <c r="C187" s="8" t="s">
        <v>209</v>
      </c>
      <c r="D187" s="6">
        <v>1</v>
      </c>
      <c r="E187">
        <v>12000</v>
      </c>
      <c r="F187">
        <v>0</v>
      </c>
      <c r="G187" s="44">
        <f>VLOOKUP(表2[[#This Row],[道具ID]],[1]!表1[#Data],10,FALSE)</f>
        <v>0</v>
      </c>
    </row>
    <row r="188" spans="1:7" x14ac:dyDescent="0.15">
      <c r="A188" s="6">
        <f t="shared" si="7"/>
        <v>112</v>
      </c>
      <c r="B188" s="6">
        <v>3</v>
      </c>
      <c r="C188" s="8" t="s">
        <v>210</v>
      </c>
      <c r="D188" s="6">
        <v>1</v>
      </c>
      <c r="E188">
        <v>2000</v>
      </c>
      <c r="F188">
        <v>0</v>
      </c>
      <c r="G188" s="44">
        <f>VLOOKUP(表2[[#This Row],[道具ID]],[1]!表1[#Data],10,FALSE)</f>
        <v>0</v>
      </c>
    </row>
    <row r="189" spans="1:7" x14ac:dyDescent="0.15">
      <c r="A189" s="6">
        <f t="shared" si="7"/>
        <v>112</v>
      </c>
      <c r="B189" s="6">
        <v>4</v>
      </c>
      <c r="C189" s="8" t="s">
        <v>211</v>
      </c>
      <c r="D189" s="6">
        <v>1</v>
      </c>
      <c r="E189">
        <v>10000</v>
      </c>
      <c r="F189" s="6">
        <v>1</v>
      </c>
      <c r="G189" s="44">
        <f>VLOOKUP(表2[[#This Row],[道具ID]],[1]!表1[#Data],10,FALSE)</f>
        <v>0</v>
      </c>
    </row>
    <row r="190" spans="1:7" x14ac:dyDescent="0.15">
      <c r="A190" s="6">
        <f t="shared" si="7"/>
        <v>112</v>
      </c>
      <c r="B190" s="6">
        <v>5</v>
      </c>
      <c r="C190" s="8" t="s">
        <v>83</v>
      </c>
      <c r="D190" s="6">
        <v>1</v>
      </c>
      <c r="E190">
        <v>30000</v>
      </c>
      <c r="F190">
        <v>0</v>
      </c>
      <c r="G190" s="44">
        <f>VLOOKUP(表2[[#This Row],[道具ID]],[1]!表1[#Data],10,FALSE)</f>
        <v>0</v>
      </c>
    </row>
    <row r="191" spans="1:7" x14ac:dyDescent="0.15">
      <c r="A191" s="6">
        <f t="shared" si="7"/>
        <v>112</v>
      </c>
      <c r="B191" s="6">
        <v>6</v>
      </c>
      <c r="C191" s="8" t="s">
        <v>84</v>
      </c>
      <c r="D191" s="6">
        <v>1</v>
      </c>
      <c r="E191">
        <v>11000</v>
      </c>
      <c r="F191">
        <v>1</v>
      </c>
      <c r="G191" s="44">
        <f>VLOOKUP(表2[[#This Row],[道具ID]],[1]!表1[#Data],10,FALSE)</f>
        <v>0</v>
      </c>
    </row>
    <row r="192" spans="1:7" x14ac:dyDescent="0.15">
      <c r="A192" s="6">
        <f t="shared" si="7"/>
        <v>112</v>
      </c>
      <c r="B192" s="6">
        <v>7</v>
      </c>
      <c r="C192" s="8" t="s">
        <v>85</v>
      </c>
      <c r="D192" s="6">
        <v>1</v>
      </c>
      <c r="E192">
        <v>100</v>
      </c>
      <c r="F192">
        <v>1</v>
      </c>
      <c r="G192" s="44">
        <f>VLOOKUP(表2[[#This Row],[道具ID]],[1]!表1[#Data],10,FALSE)</f>
        <v>0</v>
      </c>
    </row>
    <row r="193" spans="1:7" x14ac:dyDescent="0.15">
      <c r="A193" s="6">
        <f t="shared" si="7"/>
        <v>112</v>
      </c>
      <c r="B193" s="6">
        <v>8</v>
      </c>
      <c r="C193" s="8" t="s">
        <v>325</v>
      </c>
      <c r="D193" s="6">
        <v>10</v>
      </c>
      <c r="E193">
        <v>19795</v>
      </c>
      <c r="F193" s="6">
        <v>0</v>
      </c>
      <c r="G193" s="44">
        <f>VLOOKUP(表2[[#This Row],[道具ID]],[1]!表1[#Data],10,FALSE)</f>
        <v>0</v>
      </c>
    </row>
    <row r="194" spans="1:7" x14ac:dyDescent="0.15">
      <c r="A194" s="6">
        <f t="shared" si="7"/>
        <v>112</v>
      </c>
      <c r="B194" s="6">
        <v>9</v>
      </c>
      <c r="C194" s="8" t="s">
        <v>210</v>
      </c>
      <c r="D194" s="6">
        <v>1</v>
      </c>
      <c r="E194">
        <v>2000</v>
      </c>
      <c r="F194" s="6">
        <v>0</v>
      </c>
      <c r="G194" s="44">
        <f>VLOOKUP(表2[[#This Row],[道具ID]],[1]!表1[#Data],10,FALSE)</f>
        <v>0</v>
      </c>
    </row>
    <row r="195" spans="1:7" x14ac:dyDescent="0.15">
      <c r="A195" s="6">
        <f t="shared" si="7"/>
        <v>112</v>
      </c>
      <c r="B195" s="6">
        <v>10</v>
      </c>
      <c r="C195" s="8" t="s">
        <v>209</v>
      </c>
      <c r="D195" s="6">
        <v>1</v>
      </c>
      <c r="E195">
        <v>12000</v>
      </c>
      <c r="F195">
        <v>0</v>
      </c>
      <c r="G195" s="44">
        <f>VLOOKUP(表2[[#This Row],[道具ID]],[1]!表1[#Data],10,FALSE)</f>
        <v>0</v>
      </c>
    </row>
    <row r="196" spans="1:7" x14ac:dyDescent="0.15">
      <c r="A196" s="6">
        <f t="shared" si="7"/>
        <v>112</v>
      </c>
      <c r="B196" s="6">
        <v>11</v>
      </c>
      <c r="C196" s="11" t="s">
        <v>208</v>
      </c>
      <c r="D196" s="6">
        <v>1</v>
      </c>
      <c r="E196">
        <v>500</v>
      </c>
      <c r="F196">
        <v>1</v>
      </c>
      <c r="G196" s="44">
        <f>VLOOKUP(表2[[#This Row],[道具ID]],[1]!表1[#Data],10,FALSE)</f>
        <v>0</v>
      </c>
    </row>
    <row r="197" spans="1:7" x14ac:dyDescent="0.15">
      <c r="A197" s="6">
        <f t="shared" si="7"/>
        <v>112</v>
      </c>
      <c r="B197" s="6">
        <v>12</v>
      </c>
      <c r="C197" s="11" t="s">
        <v>86</v>
      </c>
      <c r="D197" s="6">
        <v>1</v>
      </c>
      <c r="E197">
        <v>50</v>
      </c>
      <c r="F197" s="6">
        <v>1</v>
      </c>
      <c r="G197" s="44">
        <f>VLOOKUP(表2[[#This Row],[道具ID]],[1]!表1[#Data],10,FALSE)</f>
        <v>0</v>
      </c>
    </row>
    <row r="198" spans="1:7" x14ac:dyDescent="0.15">
      <c r="A198" s="6">
        <f t="shared" si="7"/>
        <v>112</v>
      </c>
      <c r="B198" s="6">
        <v>13</v>
      </c>
      <c r="C198" s="11" t="s">
        <v>212</v>
      </c>
      <c r="D198" s="6">
        <v>1</v>
      </c>
      <c r="E198">
        <v>5</v>
      </c>
      <c r="F198">
        <v>1</v>
      </c>
      <c r="G198" s="44">
        <f>VLOOKUP(表2[[#This Row],[道具ID]],[1]!表1[#Data],10,FALSE)</f>
        <v>0</v>
      </c>
    </row>
    <row r="199" spans="1:7" x14ac:dyDescent="0.15">
      <c r="A199" s="6">
        <f t="shared" si="7"/>
        <v>112</v>
      </c>
      <c r="B199" s="6">
        <v>14</v>
      </c>
      <c r="C199" s="11" t="s">
        <v>86</v>
      </c>
      <c r="D199" s="6">
        <v>1</v>
      </c>
      <c r="E199">
        <v>50</v>
      </c>
      <c r="F199" s="6">
        <v>1</v>
      </c>
      <c r="G199" s="44">
        <f>VLOOKUP(表2[[#This Row],[道具ID]],[1]!表1[#Data],10,FALSE)</f>
        <v>0</v>
      </c>
    </row>
    <row r="200" spans="1:7" x14ac:dyDescent="0.15">
      <c r="A200" s="6">
        <f>A186+1</f>
        <v>113</v>
      </c>
      <c r="B200" s="6">
        <v>1</v>
      </c>
      <c r="C200" s="11" t="s">
        <v>208</v>
      </c>
      <c r="D200" s="6">
        <v>1</v>
      </c>
      <c r="E200">
        <v>500</v>
      </c>
      <c r="F200" s="6">
        <v>1</v>
      </c>
      <c r="G200" s="44">
        <f>VLOOKUP(表2[[#This Row],[道具ID]],[1]!表1[#Data],10,FALSE)</f>
        <v>0</v>
      </c>
    </row>
    <row r="201" spans="1:7" x14ac:dyDescent="0.15">
      <c r="A201" s="6">
        <f t="shared" ref="A201:A213" si="8">A187+1</f>
        <v>113</v>
      </c>
      <c r="B201" s="6">
        <v>2</v>
      </c>
      <c r="C201" s="8" t="s">
        <v>209</v>
      </c>
      <c r="D201" s="6">
        <v>1</v>
      </c>
      <c r="E201">
        <v>12000</v>
      </c>
      <c r="F201">
        <v>0</v>
      </c>
      <c r="G201" s="44">
        <f>VLOOKUP(表2[[#This Row],[道具ID]],[1]!表1[#Data],10,FALSE)</f>
        <v>0</v>
      </c>
    </row>
    <row r="202" spans="1:7" x14ac:dyDescent="0.15">
      <c r="A202" s="6">
        <f t="shared" si="8"/>
        <v>113</v>
      </c>
      <c r="B202" s="6">
        <v>3</v>
      </c>
      <c r="C202" s="8" t="s">
        <v>210</v>
      </c>
      <c r="D202" s="6">
        <v>1</v>
      </c>
      <c r="E202">
        <v>2000</v>
      </c>
      <c r="F202">
        <v>0</v>
      </c>
      <c r="G202" s="44">
        <f>VLOOKUP(表2[[#This Row],[道具ID]],[1]!表1[#Data],10,FALSE)</f>
        <v>0</v>
      </c>
    </row>
    <row r="203" spans="1:7" x14ac:dyDescent="0.15">
      <c r="A203" s="6">
        <f t="shared" si="8"/>
        <v>113</v>
      </c>
      <c r="B203" s="6">
        <v>4</v>
      </c>
      <c r="C203" s="8" t="s">
        <v>211</v>
      </c>
      <c r="D203" s="6">
        <v>1</v>
      </c>
      <c r="E203">
        <v>10000</v>
      </c>
      <c r="F203" s="6">
        <v>1</v>
      </c>
      <c r="G203" s="44">
        <f>VLOOKUP(表2[[#This Row],[道具ID]],[1]!表1[#Data],10,FALSE)</f>
        <v>0</v>
      </c>
    </row>
    <row r="204" spans="1:7" x14ac:dyDescent="0.15">
      <c r="A204" s="6">
        <f t="shared" si="8"/>
        <v>113</v>
      </c>
      <c r="B204" s="6">
        <v>5</v>
      </c>
      <c r="C204" s="8" t="s">
        <v>83</v>
      </c>
      <c r="D204" s="6">
        <v>1</v>
      </c>
      <c r="E204">
        <v>30000</v>
      </c>
      <c r="F204">
        <v>0</v>
      </c>
      <c r="G204" s="44">
        <f>VLOOKUP(表2[[#This Row],[道具ID]],[1]!表1[#Data],10,FALSE)</f>
        <v>0</v>
      </c>
    </row>
    <row r="205" spans="1:7" x14ac:dyDescent="0.15">
      <c r="A205" s="6">
        <f t="shared" si="8"/>
        <v>113</v>
      </c>
      <c r="B205" s="6">
        <v>6</v>
      </c>
      <c r="C205" s="8" t="s">
        <v>84</v>
      </c>
      <c r="D205" s="6">
        <v>1</v>
      </c>
      <c r="E205">
        <v>11000</v>
      </c>
      <c r="F205">
        <v>1</v>
      </c>
      <c r="G205" s="44">
        <f>VLOOKUP(表2[[#This Row],[道具ID]],[1]!表1[#Data],10,FALSE)</f>
        <v>0</v>
      </c>
    </row>
    <row r="206" spans="1:7" x14ac:dyDescent="0.15">
      <c r="A206" s="6">
        <f t="shared" si="8"/>
        <v>113</v>
      </c>
      <c r="B206" s="6">
        <v>7</v>
      </c>
      <c r="C206" s="8" t="s">
        <v>85</v>
      </c>
      <c r="D206" s="6">
        <v>1</v>
      </c>
      <c r="E206">
        <v>100</v>
      </c>
      <c r="F206">
        <v>1</v>
      </c>
      <c r="G206" s="44">
        <f>VLOOKUP(表2[[#This Row],[道具ID]],[1]!表1[#Data],10,FALSE)</f>
        <v>0</v>
      </c>
    </row>
    <row r="207" spans="1:7" x14ac:dyDescent="0.15">
      <c r="A207" s="6">
        <f t="shared" si="8"/>
        <v>113</v>
      </c>
      <c r="B207" s="6">
        <v>8</v>
      </c>
      <c r="C207" s="8" t="s">
        <v>324</v>
      </c>
      <c r="D207" s="6">
        <v>10</v>
      </c>
      <c r="E207">
        <v>19795</v>
      </c>
      <c r="F207" s="6">
        <v>0</v>
      </c>
      <c r="G207" s="44">
        <f>VLOOKUP(表2[[#This Row],[道具ID]],[1]!表1[#Data],10,FALSE)</f>
        <v>0</v>
      </c>
    </row>
    <row r="208" spans="1:7" x14ac:dyDescent="0.15">
      <c r="A208" s="6">
        <f t="shared" si="8"/>
        <v>113</v>
      </c>
      <c r="B208" s="6">
        <v>9</v>
      </c>
      <c r="C208" s="8" t="s">
        <v>210</v>
      </c>
      <c r="D208" s="6">
        <v>1</v>
      </c>
      <c r="E208">
        <v>2000</v>
      </c>
      <c r="F208" s="6">
        <v>0</v>
      </c>
      <c r="G208" s="44">
        <f>VLOOKUP(表2[[#This Row],[道具ID]],[1]!表1[#Data],10,FALSE)</f>
        <v>0</v>
      </c>
    </row>
    <row r="209" spans="1:7" x14ac:dyDescent="0.15">
      <c r="A209" s="6">
        <f t="shared" si="8"/>
        <v>113</v>
      </c>
      <c r="B209" s="6">
        <v>10</v>
      </c>
      <c r="C209" s="8" t="s">
        <v>209</v>
      </c>
      <c r="D209" s="6">
        <v>1</v>
      </c>
      <c r="E209">
        <v>12000</v>
      </c>
      <c r="F209">
        <v>0</v>
      </c>
      <c r="G209" s="44">
        <f>VLOOKUP(表2[[#This Row],[道具ID]],[1]!表1[#Data],10,FALSE)</f>
        <v>0</v>
      </c>
    </row>
    <row r="210" spans="1:7" x14ac:dyDescent="0.15">
      <c r="A210" s="6">
        <f t="shared" si="8"/>
        <v>113</v>
      </c>
      <c r="B210" s="6">
        <v>11</v>
      </c>
      <c r="C210" s="11" t="s">
        <v>208</v>
      </c>
      <c r="D210" s="6">
        <v>1</v>
      </c>
      <c r="E210">
        <v>500</v>
      </c>
      <c r="F210">
        <v>1</v>
      </c>
      <c r="G210" s="44">
        <f>VLOOKUP(表2[[#This Row],[道具ID]],[1]!表1[#Data],10,FALSE)</f>
        <v>0</v>
      </c>
    </row>
    <row r="211" spans="1:7" x14ac:dyDescent="0.15">
      <c r="A211" s="6">
        <f t="shared" si="8"/>
        <v>113</v>
      </c>
      <c r="B211" s="6">
        <v>12</v>
      </c>
      <c r="C211" s="11" t="s">
        <v>86</v>
      </c>
      <c r="D211" s="6">
        <v>1</v>
      </c>
      <c r="E211">
        <v>50</v>
      </c>
      <c r="F211" s="6">
        <v>1</v>
      </c>
      <c r="G211" s="44">
        <f>VLOOKUP(表2[[#This Row],[道具ID]],[1]!表1[#Data],10,FALSE)</f>
        <v>0</v>
      </c>
    </row>
    <row r="212" spans="1:7" x14ac:dyDescent="0.15">
      <c r="A212" s="6">
        <f t="shared" si="8"/>
        <v>113</v>
      </c>
      <c r="B212" s="6">
        <v>13</v>
      </c>
      <c r="C212" s="11" t="s">
        <v>212</v>
      </c>
      <c r="D212" s="6">
        <v>1</v>
      </c>
      <c r="E212">
        <v>5</v>
      </c>
      <c r="F212">
        <v>1</v>
      </c>
      <c r="G212" s="44">
        <f>VLOOKUP(表2[[#This Row],[道具ID]],[1]!表1[#Data],10,FALSE)</f>
        <v>0</v>
      </c>
    </row>
    <row r="213" spans="1:7" x14ac:dyDescent="0.15">
      <c r="A213" s="6">
        <f t="shared" si="8"/>
        <v>113</v>
      </c>
      <c r="B213" s="6">
        <v>14</v>
      </c>
      <c r="C213" s="11" t="s">
        <v>86</v>
      </c>
      <c r="D213" s="6">
        <v>1</v>
      </c>
      <c r="E213">
        <v>50</v>
      </c>
      <c r="F213" s="6">
        <v>1</v>
      </c>
      <c r="G213" s="44">
        <f>VLOOKUP(表2[[#This Row],[道具ID]],[1]!表1[#Data],10,FALSE)</f>
        <v>0</v>
      </c>
    </row>
    <row r="214" spans="1:7" x14ac:dyDescent="0.15">
      <c r="A214" s="6">
        <f>A200+1</f>
        <v>114</v>
      </c>
      <c r="B214" s="6">
        <v>1</v>
      </c>
      <c r="C214" s="11" t="s">
        <v>208</v>
      </c>
      <c r="D214" s="6">
        <v>1</v>
      </c>
      <c r="E214">
        <v>500</v>
      </c>
      <c r="F214" s="6">
        <v>1</v>
      </c>
      <c r="G214" s="44">
        <f>VLOOKUP(表2[[#This Row],[道具ID]],[1]!表1[#Data],10,FALSE)</f>
        <v>0</v>
      </c>
    </row>
    <row r="215" spans="1:7" x14ac:dyDescent="0.15">
      <c r="A215" s="6">
        <f t="shared" ref="A215:A227" si="9">A201+1</f>
        <v>114</v>
      </c>
      <c r="B215" s="6">
        <v>2</v>
      </c>
      <c r="C215" s="8" t="s">
        <v>209</v>
      </c>
      <c r="D215" s="6">
        <v>1</v>
      </c>
      <c r="E215">
        <v>12000</v>
      </c>
      <c r="F215">
        <v>0</v>
      </c>
      <c r="G215" s="44">
        <f>VLOOKUP(表2[[#This Row],[道具ID]],[1]!表1[#Data],10,FALSE)</f>
        <v>0</v>
      </c>
    </row>
    <row r="216" spans="1:7" x14ac:dyDescent="0.15">
      <c r="A216" s="6">
        <f t="shared" si="9"/>
        <v>114</v>
      </c>
      <c r="B216" s="6">
        <v>3</v>
      </c>
      <c r="C216" s="8" t="s">
        <v>210</v>
      </c>
      <c r="D216" s="6">
        <v>1</v>
      </c>
      <c r="E216">
        <v>2000</v>
      </c>
      <c r="F216">
        <v>0</v>
      </c>
      <c r="G216" s="44">
        <f>VLOOKUP(表2[[#This Row],[道具ID]],[1]!表1[#Data],10,FALSE)</f>
        <v>0</v>
      </c>
    </row>
    <row r="217" spans="1:7" x14ac:dyDescent="0.15">
      <c r="A217" s="6">
        <f t="shared" si="9"/>
        <v>114</v>
      </c>
      <c r="B217" s="6">
        <v>4</v>
      </c>
      <c r="C217" s="8" t="s">
        <v>211</v>
      </c>
      <c r="D217" s="6">
        <v>1</v>
      </c>
      <c r="E217">
        <v>10000</v>
      </c>
      <c r="F217" s="6">
        <v>1</v>
      </c>
      <c r="G217" s="44">
        <f>VLOOKUP(表2[[#This Row],[道具ID]],[1]!表1[#Data],10,FALSE)</f>
        <v>0</v>
      </c>
    </row>
    <row r="218" spans="1:7" x14ac:dyDescent="0.15">
      <c r="A218" s="6">
        <f t="shared" si="9"/>
        <v>114</v>
      </c>
      <c r="B218" s="6">
        <v>5</v>
      </c>
      <c r="C218" s="8" t="s">
        <v>83</v>
      </c>
      <c r="D218" s="6">
        <v>1</v>
      </c>
      <c r="E218">
        <v>30000</v>
      </c>
      <c r="F218">
        <v>0</v>
      </c>
      <c r="G218" s="44">
        <f>VLOOKUP(表2[[#This Row],[道具ID]],[1]!表1[#Data],10,FALSE)</f>
        <v>0</v>
      </c>
    </row>
    <row r="219" spans="1:7" x14ac:dyDescent="0.15">
      <c r="A219" s="6">
        <f t="shared" si="9"/>
        <v>114</v>
      </c>
      <c r="B219" s="6">
        <v>6</v>
      </c>
      <c r="C219" s="8" t="s">
        <v>84</v>
      </c>
      <c r="D219" s="6">
        <v>1</v>
      </c>
      <c r="E219">
        <v>11000</v>
      </c>
      <c r="F219">
        <v>1</v>
      </c>
      <c r="G219" s="44">
        <f>VLOOKUP(表2[[#This Row],[道具ID]],[1]!表1[#Data],10,FALSE)</f>
        <v>0</v>
      </c>
    </row>
    <row r="220" spans="1:7" x14ac:dyDescent="0.15">
      <c r="A220" s="6">
        <f t="shared" si="9"/>
        <v>114</v>
      </c>
      <c r="B220" s="6">
        <v>7</v>
      </c>
      <c r="C220" s="8" t="s">
        <v>85</v>
      </c>
      <c r="D220" s="6">
        <v>1</v>
      </c>
      <c r="E220">
        <v>100</v>
      </c>
      <c r="F220">
        <v>1</v>
      </c>
      <c r="G220" s="44">
        <f>VLOOKUP(表2[[#This Row],[道具ID]],[1]!表1[#Data],10,FALSE)</f>
        <v>0</v>
      </c>
    </row>
    <row r="221" spans="1:7" x14ac:dyDescent="0.15">
      <c r="A221" s="6">
        <f t="shared" si="9"/>
        <v>114</v>
      </c>
      <c r="B221" s="6">
        <v>8</v>
      </c>
      <c r="C221" s="8" t="s">
        <v>323</v>
      </c>
      <c r="D221" s="6">
        <v>10</v>
      </c>
      <c r="E221">
        <v>19795</v>
      </c>
      <c r="F221" s="6">
        <v>0</v>
      </c>
      <c r="G221" s="44">
        <f>VLOOKUP(表2[[#This Row],[道具ID]],[1]!表1[#Data],10,FALSE)</f>
        <v>0</v>
      </c>
    </row>
    <row r="222" spans="1:7" x14ac:dyDescent="0.15">
      <c r="A222" s="6">
        <f t="shared" si="9"/>
        <v>114</v>
      </c>
      <c r="B222" s="6">
        <v>9</v>
      </c>
      <c r="C222" s="8" t="s">
        <v>210</v>
      </c>
      <c r="D222" s="6">
        <v>1</v>
      </c>
      <c r="E222">
        <v>2000</v>
      </c>
      <c r="F222" s="6">
        <v>0</v>
      </c>
      <c r="G222" s="44">
        <f>VLOOKUP(表2[[#This Row],[道具ID]],[1]!表1[#Data],10,FALSE)</f>
        <v>0</v>
      </c>
    </row>
    <row r="223" spans="1:7" x14ac:dyDescent="0.15">
      <c r="A223" s="6">
        <f t="shared" si="9"/>
        <v>114</v>
      </c>
      <c r="B223" s="6">
        <v>10</v>
      </c>
      <c r="C223" s="8" t="s">
        <v>209</v>
      </c>
      <c r="D223" s="6">
        <v>1</v>
      </c>
      <c r="E223">
        <v>12000</v>
      </c>
      <c r="F223">
        <v>0</v>
      </c>
      <c r="G223" s="44">
        <f>VLOOKUP(表2[[#This Row],[道具ID]],[1]!表1[#Data],10,FALSE)</f>
        <v>0</v>
      </c>
    </row>
    <row r="224" spans="1:7" x14ac:dyDescent="0.15">
      <c r="A224" s="6">
        <f t="shared" si="9"/>
        <v>114</v>
      </c>
      <c r="B224" s="6">
        <v>11</v>
      </c>
      <c r="C224" s="11" t="s">
        <v>208</v>
      </c>
      <c r="D224" s="6">
        <v>1</v>
      </c>
      <c r="E224">
        <v>500</v>
      </c>
      <c r="F224">
        <v>1</v>
      </c>
      <c r="G224" s="44">
        <f>VLOOKUP(表2[[#This Row],[道具ID]],[1]!表1[#Data],10,FALSE)</f>
        <v>0</v>
      </c>
    </row>
    <row r="225" spans="1:7" x14ac:dyDescent="0.15">
      <c r="A225" s="6">
        <f t="shared" si="9"/>
        <v>114</v>
      </c>
      <c r="B225" s="6">
        <v>12</v>
      </c>
      <c r="C225" s="11" t="s">
        <v>86</v>
      </c>
      <c r="D225" s="6">
        <v>1</v>
      </c>
      <c r="E225">
        <v>50</v>
      </c>
      <c r="F225" s="6">
        <v>1</v>
      </c>
      <c r="G225" s="44">
        <f>VLOOKUP(表2[[#This Row],[道具ID]],[1]!表1[#Data],10,FALSE)</f>
        <v>0</v>
      </c>
    </row>
    <row r="226" spans="1:7" x14ac:dyDescent="0.15">
      <c r="A226" s="6">
        <f t="shared" si="9"/>
        <v>114</v>
      </c>
      <c r="B226" s="6">
        <v>13</v>
      </c>
      <c r="C226" s="11" t="s">
        <v>212</v>
      </c>
      <c r="D226" s="6">
        <v>1</v>
      </c>
      <c r="E226">
        <v>5</v>
      </c>
      <c r="F226">
        <v>1</v>
      </c>
      <c r="G226" s="44">
        <f>VLOOKUP(表2[[#This Row],[道具ID]],[1]!表1[#Data],10,FALSE)</f>
        <v>0</v>
      </c>
    </row>
    <row r="227" spans="1:7" x14ac:dyDescent="0.15">
      <c r="A227" s="6">
        <f t="shared" si="9"/>
        <v>114</v>
      </c>
      <c r="B227" s="6">
        <v>14</v>
      </c>
      <c r="C227" s="11" t="s">
        <v>86</v>
      </c>
      <c r="D227" s="6">
        <v>1</v>
      </c>
      <c r="E227">
        <v>50</v>
      </c>
      <c r="F227" s="6">
        <v>1</v>
      </c>
      <c r="G227" s="44">
        <f>VLOOKUP(表2[[#This Row],[道具ID]],[1]!表1[#Data],10,FALSE)</f>
        <v>0</v>
      </c>
    </row>
    <row r="228" spans="1:7" x14ac:dyDescent="0.15">
      <c r="A228" s="6">
        <f>A214+1</f>
        <v>115</v>
      </c>
      <c r="B228" s="6">
        <v>1</v>
      </c>
      <c r="C228" s="11" t="s">
        <v>208</v>
      </c>
      <c r="D228" s="6">
        <v>1</v>
      </c>
      <c r="E228">
        <v>500</v>
      </c>
      <c r="F228" s="6">
        <v>1</v>
      </c>
      <c r="G228" s="44">
        <f>VLOOKUP(表2[[#This Row],[道具ID]],[1]!表1[#Data],10,FALSE)</f>
        <v>0</v>
      </c>
    </row>
    <row r="229" spans="1:7" x14ac:dyDescent="0.15">
      <c r="A229" s="6">
        <f t="shared" ref="A229:A241" si="10">A215+1</f>
        <v>115</v>
      </c>
      <c r="B229" s="6">
        <v>2</v>
      </c>
      <c r="C229" s="8" t="s">
        <v>209</v>
      </c>
      <c r="D229" s="6">
        <v>1</v>
      </c>
      <c r="E229">
        <v>12000</v>
      </c>
      <c r="F229">
        <v>0</v>
      </c>
      <c r="G229" s="44">
        <f>VLOOKUP(表2[[#This Row],[道具ID]],[1]!表1[#Data],10,FALSE)</f>
        <v>0</v>
      </c>
    </row>
    <row r="230" spans="1:7" x14ac:dyDescent="0.15">
      <c r="A230" s="6">
        <f t="shared" si="10"/>
        <v>115</v>
      </c>
      <c r="B230" s="6">
        <v>3</v>
      </c>
      <c r="C230" s="8" t="s">
        <v>210</v>
      </c>
      <c r="D230" s="6">
        <v>1</v>
      </c>
      <c r="E230">
        <v>2000</v>
      </c>
      <c r="F230">
        <v>0</v>
      </c>
      <c r="G230" s="44">
        <f>VLOOKUP(表2[[#This Row],[道具ID]],[1]!表1[#Data],10,FALSE)</f>
        <v>0</v>
      </c>
    </row>
    <row r="231" spans="1:7" x14ac:dyDescent="0.15">
      <c r="A231" s="6">
        <f t="shared" si="10"/>
        <v>115</v>
      </c>
      <c r="B231" s="6">
        <v>4</v>
      </c>
      <c r="C231" s="8" t="s">
        <v>211</v>
      </c>
      <c r="D231" s="6">
        <v>1</v>
      </c>
      <c r="E231">
        <v>10000</v>
      </c>
      <c r="F231" s="6">
        <v>1</v>
      </c>
      <c r="G231" s="44">
        <f>VLOOKUP(表2[[#This Row],[道具ID]],[1]!表1[#Data],10,FALSE)</f>
        <v>0</v>
      </c>
    </row>
    <row r="232" spans="1:7" x14ac:dyDescent="0.15">
      <c r="A232" s="6">
        <f t="shared" si="10"/>
        <v>115</v>
      </c>
      <c r="B232" s="6">
        <v>5</v>
      </c>
      <c r="C232" s="8" t="s">
        <v>83</v>
      </c>
      <c r="D232" s="6">
        <v>1</v>
      </c>
      <c r="E232">
        <v>30000</v>
      </c>
      <c r="F232">
        <v>0</v>
      </c>
      <c r="G232" s="44">
        <f>VLOOKUP(表2[[#This Row],[道具ID]],[1]!表1[#Data],10,FALSE)</f>
        <v>0</v>
      </c>
    </row>
    <row r="233" spans="1:7" x14ac:dyDescent="0.15">
      <c r="A233" s="6">
        <f t="shared" si="10"/>
        <v>115</v>
      </c>
      <c r="B233" s="6">
        <v>6</v>
      </c>
      <c r="C233" s="8" t="s">
        <v>84</v>
      </c>
      <c r="D233" s="6">
        <v>1</v>
      </c>
      <c r="E233">
        <v>11000</v>
      </c>
      <c r="F233">
        <v>1</v>
      </c>
      <c r="G233" s="44">
        <f>VLOOKUP(表2[[#This Row],[道具ID]],[1]!表1[#Data],10,FALSE)</f>
        <v>0</v>
      </c>
    </row>
    <row r="234" spans="1:7" x14ac:dyDescent="0.15">
      <c r="A234" s="6">
        <f t="shared" si="10"/>
        <v>115</v>
      </c>
      <c r="B234" s="6">
        <v>7</v>
      </c>
      <c r="C234" s="8" t="s">
        <v>85</v>
      </c>
      <c r="D234" s="6">
        <v>1</v>
      </c>
      <c r="E234">
        <v>100</v>
      </c>
      <c r="F234">
        <v>1</v>
      </c>
      <c r="G234" s="44">
        <f>VLOOKUP(表2[[#This Row],[道具ID]],[1]!表1[#Data],10,FALSE)</f>
        <v>0</v>
      </c>
    </row>
    <row r="235" spans="1:7" x14ac:dyDescent="0.15">
      <c r="A235" s="6">
        <f t="shared" si="10"/>
        <v>115</v>
      </c>
      <c r="B235" s="6">
        <v>8</v>
      </c>
      <c r="C235" s="8" t="s">
        <v>322</v>
      </c>
      <c r="D235" s="6">
        <v>10</v>
      </c>
      <c r="E235">
        <v>19795</v>
      </c>
      <c r="F235" s="6">
        <v>0</v>
      </c>
      <c r="G235" s="44">
        <f>VLOOKUP(表2[[#This Row],[道具ID]],[1]!表1[#Data],10,FALSE)</f>
        <v>0</v>
      </c>
    </row>
    <row r="236" spans="1:7" x14ac:dyDescent="0.15">
      <c r="A236" s="6">
        <f t="shared" si="10"/>
        <v>115</v>
      </c>
      <c r="B236" s="6">
        <v>9</v>
      </c>
      <c r="C236" s="8" t="s">
        <v>210</v>
      </c>
      <c r="D236" s="6">
        <v>1</v>
      </c>
      <c r="E236">
        <v>2000</v>
      </c>
      <c r="F236" s="6">
        <v>0</v>
      </c>
      <c r="G236" s="44">
        <f>VLOOKUP(表2[[#This Row],[道具ID]],[1]!表1[#Data],10,FALSE)</f>
        <v>0</v>
      </c>
    </row>
    <row r="237" spans="1:7" x14ac:dyDescent="0.15">
      <c r="A237" s="6">
        <f t="shared" si="10"/>
        <v>115</v>
      </c>
      <c r="B237" s="6">
        <v>10</v>
      </c>
      <c r="C237" s="8" t="s">
        <v>209</v>
      </c>
      <c r="D237" s="6">
        <v>1</v>
      </c>
      <c r="E237">
        <v>12000</v>
      </c>
      <c r="F237">
        <v>0</v>
      </c>
      <c r="G237" s="44">
        <f>VLOOKUP(表2[[#This Row],[道具ID]],[1]!表1[#Data],10,FALSE)</f>
        <v>0</v>
      </c>
    </row>
    <row r="238" spans="1:7" x14ac:dyDescent="0.15">
      <c r="A238" s="6">
        <f t="shared" si="10"/>
        <v>115</v>
      </c>
      <c r="B238" s="6">
        <v>11</v>
      </c>
      <c r="C238" s="11" t="s">
        <v>208</v>
      </c>
      <c r="D238" s="6">
        <v>1</v>
      </c>
      <c r="E238">
        <v>500</v>
      </c>
      <c r="F238">
        <v>1</v>
      </c>
      <c r="G238" s="44">
        <f>VLOOKUP(表2[[#This Row],[道具ID]],[1]!表1[#Data],10,FALSE)</f>
        <v>0</v>
      </c>
    </row>
    <row r="239" spans="1:7" x14ac:dyDescent="0.15">
      <c r="A239" s="6">
        <f t="shared" si="10"/>
        <v>115</v>
      </c>
      <c r="B239" s="6">
        <v>12</v>
      </c>
      <c r="C239" s="11" t="s">
        <v>86</v>
      </c>
      <c r="D239" s="6">
        <v>1</v>
      </c>
      <c r="E239">
        <v>50</v>
      </c>
      <c r="F239" s="6">
        <v>1</v>
      </c>
      <c r="G239" s="44">
        <f>VLOOKUP(表2[[#This Row],[道具ID]],[1]!表1[#Data],10,FALSE)</f>
        <v>0</v>
      </c>
    </row>
    <row r="240" spans="1:7" x14ac:dyDescent="0.15">
      <c r="A240" s="6">
        <f t="shared" si="10"/>
        <v>115</v>
      </c>
      <c r="B240" s="6">
        <v>13</v>
      </c>
      <c r="C240" s="11" t="s">
        <v>212</v>
      </c>
      <c r="D240" s="6">
        <v>1</v>
      </c>
      <c r="E240">
        <v>5</v>
      </c>
      <c r="F240">
        <v>1</v>
      </c>
      <c r="G240" s="44">
        <f>VLOOKUP(表2[[#This Row],[道具ID]],[1]!表1[#Data],10,FALSE)</f>
        <v>0</v>
      </c>
    </row>
    <row r="241" spans="1:7" x14ac:dyDescent="0.15">
      <c r="A241" s="6">
        <f t="shared" si="10"/>
        <v>115</v>
      </c>
      <c r="B241" s="6">
        <v>14</v>
      </c>
      <c r="C241" s="11" t="s">
        <v>86</v>
      </c>
      <c r="D241" s="6">
        <v>1</v>
      </c>
      <c r="E241">
        <v>50</v>
      </c>
      <c r="F241" s="6">
        <v>1</v>
      </c>
      <c r="G241" s="44">
        <f>VLOOKUP(表2[[#This Row],[道具ID]],[1]!表1[#Data],10,FALSE)</f>
        <v>0</v>
      </c>
    </row>
  </sheetData>
  <phoneticPr fontId="9" type="noConversion"/>
  <dataValidations count="1">
    <dataValidation allowBlank="1" showInputMessage="1" showErrorMessage="1" prompt="满值100000" sqref="E3:F3" xr:uid="{00000000-0002-0000-0300-000000000000}"/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7"/>
  <sheetViews>
    <sheetView workbookViewId="0">
      <selection activeCell="C15" sqref="C15"/>
    </sheetView>
  </sheetViews>
  <sheetFormatPr defaultColWidth="9" defaultRowHeight="13.5" x14ac:dyDescent="0.15"/>
  <cols>
    <col min="1" max="1" width="12.625" customWidth="1"/>
    <col min="2" max="3" width="21.625" customWidth="1"/>
    <col min="4" max="4" width="28" customWidth="1"/>
    <col min="5" max="5" width="11.75" customWidth="1"/>
  </cols>
  <sheetData>
    <row r="1" spans="1:5" ht="17.25" x14ac:dyDescent="0.35">
      <c r="A1" s="1" t="s">
        <v>12</v>
      </c>
      <c r="B1" s="1" t="s">
        <v>13</v>
      </c>
      <c r="C1" s="1" t="s">
        <v>14</v>
      </c>
      <c r="D1" s="1" t="s">
        <v>43</v>
      </c>
      <c r="E1" s="14" t="s">
        <v>153</v>
      </c>
    </row>
    <row r="2" spans="1:5" ht="16.5" x14ac:dyDescent="0.15">
      <c r="A2" s="15" t="s">
        <v>17</v>
      </c>
      <c r="B2" s="15" t="s">
        <v>18</v>
      </c>
      <c r="C2" s="15" t="s">
        <v>18</v>
      </c>
      <c r="D2" s="15" t="s">
        <v>18</v>
      </c>
      <c r="E2" s="16" t="s">
        <v>154</v>
      </c>
    </row>
    <row r="3" spans="1:5" x14ac:dyDescent="0.15">
      <c r="A3" s="4" t="s">
        <v>20</v>
      </c>
      <c r="B3" s="4" t="s">
        <v>21</v>
      </c>
      <c r="C3" s="4" t="s">
        <v>22</v>
      </c>
      <c r="D3" s="4" t="s">
        <v>44</v>
      </c>
      <c r="E3" s="17" t="s">
        <v>45</v>
      </c>
    </row>
    <row r="4" spans="1:5" x14ac:dyDescent="0.15">
      <c r="A4" s="6">
        <v>1</v>
      </c>
      <c r="B4" s="4" t="s">
        <v>25</v>
      </c>
      <c r="C4" s="8" t="s">
        <v>201</v>
      </c>
      <c r="D4" s="8" t="s">
        <v>46</v>
      </c>
      <c r="E4" s="10" t="s">
        <v>155</v>
      </c>
    </row>
    <row r="5" spans="1:5" x14ac:dyDescent="0.15">
      <c r="A5" s="6">
        <v>2</v>
      </c>
      <c r="B5" s="29" t="s">
        <v>213</v>
      </c>
      <c r="C5" s="8" t="s">
        <v>160</v>
      </c>
      <c r="D5" s="8" t="s">
        <v>203</v>
      </c>
      <c r="E5" s="10" t="s">
        <v>156</v>
      </c>
    </row>
    <row r="6" spans="1:5" x14ac:dyDescent="0.15">
      <c r="A6" s="6">
        <v>3</v>
      </c>
      <c r="B6" s="29" t="s">
        <v>295</v>
      </c>
      <c r="C6" s="8" t="s">
        <v>239</v>
      </c>
      <c r="D6" s="8" t="s">
        <v>47</v>
      </c>
      <c r="E6" s="10" t="s">
        <v>157</v>
      </c>
    </row>
    <row r="7" spans="1:5" x14ac:dyDescent="0.15">
      <c r="A7" s="6">
        <v>4</v>
      </c>
      <c r="B7" s="29" t="s">
        <v>347</v>
      </c>
      <c r="C7" s="8" t="s">
        <v>346</v>
      </c>
      <c r="D7" s="8" t="s">
        <v>296</v>
      </c>
      <c r="E7" s="10" t="s">
        <v>297</v>
      </c>
    </row>
  </sheetData>
  <phoneticPr fontId="9" type="noConversion"/>
  <pageMargins left="0.69930555555555596" right="0.69930555555555596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04"/>
  <sheetViews>
    <sheetView tabSelected="1" workbookViewId="0">
      <pane xSplit="1" ySplit="3" topLeftCell="B43" activePane="bottomRight" state="frozenSplit"/>
      <selection pane="topRight" activeCell="B1" sqref="B1"/>
      <selection pane="bottomLeft" activeCell="A4" sqref="A4"/>
      <selection pane="bottomRight" activeCell="E52" sqref="E52"/>
    </sheetView>
  </sheetViews>
  <sheetFormatPr defaultColWidth="9" defaultRowHeight="13.5" x14ac:dyDescent="0.15"/>
  <cols>
    <col min="1" max="1" width="12.25" customWidth="1"/>
    <col min="2" max="2" width="28.625" customWidth="1"/>
    <col min="3" max="3" width="22.875" bestFit="1" customWidth="1"/>
    <col min="4" max="4" width="24.625" customWidth="1"/>
    <col min="5" max="5" width="11.75" customWidth="1"/>
    <col min="6" max="6" width="9.75" customWidth="1"/>
    <col min="7" max="7" width="43.375" customWidth="1"/>
    <col min="8" max="8" width="16.125" customWidth="1"/>
    <col min="9" max="9" width="34.125" customWidth="1"/>
    <col min="10" max="10" width="19.5" customWidth="1"/>
  </cols>
  <sheetData>
    <row r="1" spans="1:10" ht="17.25" x14ac:dyDescent="0.35">
      <c r="A1" s="31" t="s">
        <v>12</v>
      </c>
      <c r="B1" s="1" t="s">
        <v>48</v>
      </c>
      <c r="C1" s="1" t="s">
        <v>49</v>
      </c>
      <c r="D1" s="1" t="s">
        <v>50</v>
      </c>
      <c r="E1" s="1" t="s">
        <v>51</v>
      </c>
      <c r="F1" s="1" t="s">
        <v>52</v>
      </c>
      <c r="G1" s="1" t="s">
        <v>16</v>
      </c>
      <c r="H1" s="1" t="s">
        <v>15</v>
      </c>
      <c r="I1" s="12" t="s">
        <v>53</v>
      </c>
      <c r="J1" s="14" t="s">
        <v>36</v>
      </c>
    </row>
    <row r="2" spans="1:10" ht="16.5" x14ac:dyDescent="0.15">
      <c r="A2" s="32" t="s">
        <v>17</v>
      </c>
      <c r="B2" s="3" t="s">
        <v>17</v>
      </c>
      <c r="C2" s="3" t="s">
        <v>18</v>
      </c>
      <c r="D2" s="3" t="s">
        <v>17</v>
      </c>
      <c r="E2" s="3" t="s">
        <v>17</v>
      </c>
      <c r="F2" s="3" t="s">
        <v>17</v>
      </c>
      <c r="G2" s="3" t="s">
        <v>19</v>
      </c>
      <c r="H2" s="3" t="s">
        <v>17</v>
      </c>
      <c r="I2" s="13" t="s">
        <v>17</v>
      </c>
      <c r="J2" s="16" t="s">
        <v>36</v>
      </c>
    </row>
    <row r="3" spans="1:10" x14ac:dyDescent="0.15">
      <c r="A3" t="s">
        <v>54</v>
      </c>
      <c r="B3" s="5" t="s">
        <v>55</v>
      </c>
      <c r="C3" t="s">
        <v>56</v>
      </c>
      <c r="D3" s="5" t="s">
        <v>57</v>
      </c>
      <c r="E3" t="s">
        <v>58</v>
      </c>
      <c r="F3" t="s">
        <v>59</v>
      </c>
      <c r="G3" t="s">
        <v>60</v>
      </c>
      <c r="H3" s="5" t="s">
        <v>61</v>
      </c>
      <c r="I3" s="5" t="s">
        <v>62</v>
      </c>
      <c r="J3" t="s">
        <v>106</v>
      </c>
    </row>
    <row r="4" spans="1:10" x14ac:dyDescent="0.15">
      <c r="A4" s="34">
        <v>1001</v>
      </c>
      <c r="B4" s="35">
        <v>1</v>
      </c>
      <c r="C4" s="36" t="str">
        <f>"activequest_name_"&amp;表5[[#This Row],[任务ID]]</f>
        <v>activequest_name_1001</v>
      </c>
      <c r="D4" s="37">
        <v>20</v>
      </c>
      <c r="E4" s="37">
        <v>0</v>
      </c>
      <c r="F4" s="37">
        <v>10</v>
      </c>
      <c r="G4" s="38" t="s">
        <v>149</v>
      </c>
      <c r="H4" s="35">
        <v>0</v>
      </c>
      <c r="I4" s="35">
        <v>1</v>
      </c>
      <c r="J4" s="39" t="e">
        <f>VLOOKUP(表5[[#This Row],[任务名称]],[2]!表1[#Data],2,FALSE)</f>
        <v>#REF!</v>
      </c>
    </row>
    <row r="5" spans="1:10" x14ac:dyDescent="0.15">
      <c r="A5" s="34">
        <v>1002</v>
      </c>
      <c r="B5" s="35">
        <v>1</v>
      </c>
      <c r="C5" s="36" t="str">
        <f>"activequest_name_"&amp;表5[[#This Row],[任务ID]]</f>
        <v>activequest_name_1002</v>
      </c>
      <c r="D5" s="35">
        <v>21</v>
      </c>
      <c r="E5" s="35">
        <v>0</v>
      </c>
      <c r="F5" s="35">
        <v>30</v>
      </c>
      <c r="G5" s="38" t="s">
        <v>150</v>
      </c>
      <c r="H5" s="35">
        <v>0</v>
      </c>
      <c r="I5" s="35">
        <v>1</v>
      </c>
      <c r="J5" s="39" t="e">
        <f>VLOOKUP(表5[[#This Row],[任务名称]],[2]!表1[#Data],2,FALSE)</f>
        <v>#REF!</v>
      </c>
    </row>
    <row r="6" spans="1:10" x14ac:dyDescent="0.15">
      <c r="A6" s="34">
        <v>1003</v>
      </c>
      <c r="B6" s="35">
        <v>1</v>
      </c>
      <c r="C6" s="36" t="str">
        <f>"activequest_name_"&amp;表5[[#This Row],[任务ID]]</f>
        <v>activequest_name_1003</v>
      </c>
      <c r="D6" s="37">
        <v>18</v>
      </c>
      <c r="E6" s="37">
        <v>0</v>
      </c>
      <c r="F6" s="37">
        <v>5</v>
      </c>
      <c r="G6" s="38" t="s">
        <v>107</v>
      </c>
      <c r="H6" s="35">
        <v>1</v>
      </c>
      <c r="I6" s="35">
        <v>1</v>
      </c>
      <c r="J6" s="39" t="e">
        <f>VLOOKUP(表5[[#This Row],[任务名称]],[2]!表1[#Data],2,FALSE)</f>
        <v>#REF!</v>
      </c>
    </row>
    <row r="7" spans="1:10" x14ac:dyDescent="0.15">
      <c r="A7" s="34">
        <v>1004</v>
      </c>
      <c r="B7" s="35">
        <v>1</v>
      </c>
      <c r="C7" s="36" t="str">
        <f>"activequest_name_"&amp;表5[[#This Row],[任务ID]]</f>
        <v>activequest_name_1004</v>
      </c>
      <c r="D7" s="37">
        <v>1</v>
      </c>
      <c r="E7" s="37">
        <v>21</v>
      </c>
      <c r="F7" s="37">
        <v>5</v>
      </c>
      <c r="G7" s="38" t="s">
        <v>108</v>
      </c>
      <c r="H7" s="35">
        <v>1</v>
      </c>
      <c r="I7" s="35">
        <v>1</v>
      </c>
      <c r="J7" s="39" t="e">
        <f>VLOOKUP(表5[[#This Row],[任务名称]],[2]!表1[#Data],2,FALSE)</f>
        <v>#REF!</v>
      </c>
    </row>
    <row r="8" spans="1:10" x14ac:dyDescent="0.15">
      <c r="A8" s="34">
        <v>1005</v>
      </c>
      <c r="B8" s="35">
        <v>1</v>
      </c>
      <c r="C8" s="36" t="str">
        <f>"activequest_name_"&amp;表5[[#This Row],[任务ID]]</f>
        <v>activequest_name_1005</v>
      </c>
      <c r="D8" s="37">
        <v>1</v>
      </c>
      <c r="E8" s="37">
        <v>22</v>
      </c>
      <c r="F8" s="37">
        <v>5</v>
      </c>
      <c r="G8" s="38" t="s">
        <v>108</v>
      </c>
      <c r="H8" s="35">
        <v>1</v>
      </c>
      <c r="I8" s="35">
        <v>1</v>
      </c>
      <c r="J8" s="39" t="e">
        <f>VLOOKUP(表5[[#This Row],[任务名称]],[2]!表1[#Data],2,FALSE)</f>
        <v>#REF!</v>
      </c>
    </row>
    <row r="9" spans="1:10" x14ac:dyDescent="0.15">
      <c r="A9" s="34">
        <v>1006</v>
      </c>
      <c r="B9" s="35">
        <v>1</v>
      </c>
      <c r="C9" s="36" t="str">
        <f>"activequest_name_"&amp;表5[[#This Row],[任务ID]]</f>
        <v>activequest_name_1006</v>
      </c>
      <c r="D9" s="37">
        <v>1</v>
      </c>
      <c r="E9" s="37">
        <v>49</v>
      </c>
      <c r="F9" s="37">
        <v>5</v>
      </c>
      <c r="G9" s="38" t="s">
        <v>108</v>
      </c>
      <c r="H9" s="35">
        <v>1</v>
      </c>
      <c r="I9" s="35">
        <v>1</v>
      </c>
      <c r="J9" s="39" t="e">
        <f>VLOOKUP(表5[[#This Row],[任务名称]],[2]!表1[#Data],2,FALSE)</f>
        <v>#REF!</v>
      </c>
    </row>
    <row r="10" spans="1:10" x14ac:dyDescent="0.15">
      <c r="A10" s="34">
        <v>1007</v>
      </c>
      <c r="B10" s="35">
        <v>1</v>
      </c>
      <c r="C10" s="36" t="str">
        <f>"activequest_name_"&amp;表5[[#This Row],[任务ID]]</f>
        <v>activequest_name_1007</v>
      </c>
      <c r="D10" s="37">
        <v>1</v>
      </c>
      <c r="E10" s="37">
        <v>57</v>
      </c>
      <c r="F10" s="37">
        <v>5</v>
      </c>
      <c r="G10" s="38" t="s">
        <v>108</v>
      </c>
      <c r="H10" s="35">
        <v>1</v>
      </c>
      <c r="I10" s="35">
        <v>1</v>
      </c>
      <c r="J10" s="39" t="e">
        <f>VLOOKUP(表5[[#This Row],[任务名称]],[2]!表1[#Data],2,FALSE)</f>
        <v>#REF!</v>
      </c>
    </row>
    <row r="11" spans="1:10" x14ac:dyDescent="0.15">
      <c r="A11" s="34">
        <v>1008</v>
      </c>
      <c r="B11" s="35">
        <v>1</v>
      </c>
      <c r="C11" s="36" t="str">
        <f>"activequest_name_"&amp;表5[[#This Row],[任务ID]]</f>
        <v>activequest_name_1008</v>
      </c>
      <c r="D11" s="35">
        <v>1</v>
      </c>
      <c r="E11" s="35">
        <v>52</v>
      </c>
      <c r="F11" s="35">
        <v>1</v>
      </c>
      <c r="G11" s="38" t="s">
        <v>110</v>
      </c>
      <c r="H11" s="35">
        <v>1</v>
      </c>
      <c r="I11" s="35">
        <v>1</v>
      </c>
      <c r="J11" s="39" t="e">
        <f>VLOOKUP(表5[[#This Row],[任务名称]],[2]!表1[#Data],2,FALSE)</f>
        <v>#REF!</v>
      </c>
    </row>
    <row r="12" spans="1:10" x14ac:dyDescent="0.15">
      <c r="A12" s="34">
        <v>1009</v>
      </c>
      <c r="B12" s="35">
        <v>1</v>
      </c>
      <c r="C12" s="36" t="str">
        <f>"activequest_name_"&amp;表5[[#This Row],[任务ID]]</f>
        <v>activequest_name_1009</v>
      </c>
      <c r="D12" s="35">
        <v>1</v>
      </c>
      <c r="E12" s="35">
        <v>0</v>
      </c>
      <c r="F12" s="35">
        <v>100000</v>
      </c>
      <c r="G12" s="38" t="s">
        <v>109</v>
      </c>
      <c r="H12" s="35">
        <v>0</v>
      </c>
      <c r="I12" s="35">
        <v>1</v>
      </c>
      <c r="J12" s="39" t="e">
        <f>VLOOKUP(表5[[#This Row],[任务名称]],[2]!表1[#Data],2,FALSE)</f>
        <v>#REF!</v>
      </c>
    </row>
    <row r="13" spans="1:10" x14ac:dyDescent="0.15">
      <c r="A13" s="34">
        <v>1010</v>
      </c>
      <c r="B13" s="35">
        <v>1</v>
      </c>
      <c r="C13" s="36" t="str">
        <f>"activequest_name_"&amp;表5[[#This Row],[任务ID]]</f>
        <v>activequest_name_1010</v>
      </c>
      <c r="D13" s="35">
        <v>13</v>
      </c>
      <c r="E13" s="35">
        <v>0</v>
      </c>
      <c r="F13" s="35">
        <v>10</v>
      </c>
      <c r="G13" s="38" t="s">
        <v>111</v>
      </c>
      <c r="H13" s="35">
        <v>0</v>
      </c>
      <c r="I13" s="35">
        <v>1</v>
      </c>
      <c r="J13" s="39" t="e">
        <f>VLOOKUP(表5[[#This Row],[任务名称]],[2]!表1[#Data],2,FALSE)</f>
        <v>#REF!</v>
      </c>
    </row>
    <row r="14" spans="1:10" x14ac:dyDescent="0.15">
      <c r="A14" s="34">
        <v>1011</v>
      </c>
      <c r="B14" s="35">
        <v>1</v>
      </c>
      <c r="C14" s="36" t="str">
        <f>"activequest_name_"&amp;表5[[#This Row],[任务ID]]</f>
        <v>activequest_name_1011</v>
      </c>
      <c r="D14" s="37">
        <v>2</v>
      </c>
      <c r="E14" s="37">
        <v>3</v>
      </c>
      <c r="F14" s="37">
        <v>50</v>
      </c>
      <c r="G14" s="38" t="s">
        <v>112</v>
      </c>
      <c r="H14" s="35">
        <v>1</v>
      </c>
      <c r="I14" s="35">
        <v>1</v>
      </c>
      <c r="J14" s="39" t="e">
        <f>VLOOKUP(表5[[#This Row],[任务名称]],[2]!表1[#Data],2,FALSE)</f>
        <v>#REF!</v>
      </c>
    </row>
    <row r="15" spans="1:10" x14ac:dyDescent="0.15">
      <c r="A15" s="34">
        <v>1012</v>
      </c>
      <c r="B15" s="35">
        <v>1</v>
      </c>
      <c r="C15" s="36" t="str">
        <f>"activequest_name_"&amp;表5[[#This Row],[任务ID]]</f>
        <v>activequest_name_1012</v>
      </c>
      <c r="D15" s="37">
        <v>2</v>
      </c>
      <c r="E15" s="37">
        <v>4</v>
      </c>
      <c r="F15" s="37">
        <v>20</v>
      </c>
      <c r="G15" s="38" t="s">
        <v>112</v>
      </c>
      <c r="H15" s="35">
        <v>1</v>
      </c>
      <c r="I15" s="35">
        <v>1</v>
      </c>
      <c r="J15" s="39" t="e">
        <f>VLOOKUP(表5[[#This Row],[任务名称]],[2]!表1[#Data],2,FALSE)</f>
        <v>#REF!</v>
      </c>
    </row>
    <row r="16" spans="1:10" x14ac:dyDescent="0.15">
      <c r="A16" s="34">
        <v>1013</v>
      </c>
      <c r="B16" s="35">
        <v>1</v>
      </c>
      <c r="C16" s="36" t="str">
        <f>"activequest_name_"&amp;表5[[#This Row],[任务ID]]</f>
        <v>activequest_name_1013</v>
      </c>
      <c r="D16" s="35">
        <v>19</v>
      </c>
      <c r="E16" s="35">
        <v>1</v>
      </c>
      <c r="F16" s="35">
        <v>1</v>
      </c>
      <c r="G16" s="38" t="s">
        <v>113</v>
      </c>
      <c r="H16" s="35">
        <v>1</v>
      </c>
      <c r="I16" s="35">
        <v>2</v>
      </c>
      <c r="J16" s="39" t="e">
        <f>VLOOKUP(表5[[#This Row],[任务名称]],[2]!表1[#Data],2,FALSE)</f>
        <v>#REF!</v>
      </c>
    </row>
    <row r="17" spans="1:10" x14ac:dyDescent="0.15">
      <c r="A17" s="34">
        <v>1091</v>
      </c>
      <c r="B17" s="35">
        <v>1</v>
      </c>
      <c r="C17" s="36" t="str">
        <f>"activequest_name_"&amp;表5[[#This Row],[任务ID]]</f>
        <v>activequest_name_1091</v>
      </c>
      <c r="D17" s="35">
        <v>19</v>
      </c>
      <c r="E17" s="35">
        <v>0</v>
      </c>
      <c r="F17" s="35">
        <v>100</v>
      </c>
      <c r="G17" s="38" t="s">
        <v>114</v>
      </c>
      <c r="H17" s="35">
        <v>0</v>
      </c>
      <c r="I17" s="35">
        <v>2</v>
      </c>
      <c r="J17" s="39" t="e">
        <f>VLOOKUP(表5[[#This Row],[任务名称]],[2]!表1[#Data],2,FALSE)</f>
        <v>#REF!</v>
      </c>
    </row>
    <row r="18" spans="1:10" x14ac:dyDescent="0.15">
      <c r="A18" s="34">
        <v>1092</v>
      </c>
      <c r="B18" s="35">
        <v>1</v>
      </c>
      <c r="C18" s="36" t="str">
        <f>"activequest_name_"&amp;表5[[#This Row],[任务ID]]</f>
        <v>activequest_name_1092</v>
      </c>
      <c r="D18" s="35">
        <v>19</v>
      </c>
      <c r="E18" s="35">
        <v>0</v>
      </c>
      <c r="F18" s="35">
        <v>200</v>
      </c>
      <c r="G18" s="38" t="s">
        <v>115</v>
      </c>
      <c r="H18" s="35">
        <v>0</v>
      </c>
      <c r="I18" s="35">
        <v>2</v>
      </c>
      <c r="J18" s="39" t="e">
        <f>VLOOKUP(表5[[#This Row],[任务名称]],[2]!表1[#Data],2,FALSE)</f>
        <v>#REF!</v>
      </c>
    </row>
    <row r="19" spans="1:10" x14ac:dyDescent="0.15">
      <c r="A19" s="34">
        <v>1093</v>
      </c>
      <c r="B19" s="35">
        <v>1</v>
      </c>
      <c r="C19" s="36" t="str">
        <f>"activequest_name_"&amp;表5[[#This Row],[任务ID]]</f>
        <v>activequest_name_1093</v>
      </c>
      <c r="D19" s="35">
        <v>19</v>
      </c>
      <c r="E19" s="35">
        <v>0</v>
      </c>
      <c r="F19" s="35">
        <v>400</v>
      </c>
      <c r="G19" s="38" t="s">
        <v>116</v>
      </c>
      <c r="H19" s="35">
        <v>0</v>
      </c>
      <c r="I19" s="35">
        <v>2</v>
      </c>
      <c r="J19" s="39" t="e">
        <f>VLOOKUP(表5[[#This Row],[任务名称]],[2]!表1[#Data],2,FALSE)</f>
        <v>#REF!</v>
      </c>
    </row>
    <row r="20" spans="1:10" x14ac:dyDescent="0.15">
      <c r="A20" s="34">
        <v>1094</v>
      </c>
      <c r="B20" s="35">
        <v>1</v>
      </c>
      <c r="C20" s="36" t="str">
        <f>"activequest_name_"&amp;表5[[#This Row],[任务ID]]</f>
        <v>activequest_name_1094</v>
      </c>
      <c r="D20" s="35">
        <v>19</v>
      </c>
      <c r="E20" s="35">
        <v>0</v>
      </c>
      <c r="F20" s="35">
        <v>600</v>
      </c>
      <c r="G20" s="38" t="s">
        <v>117</v>
      </c>
      <c r="H20" s="35">
        <v>0</v>
      </c>
      <c r="I20" s="35">
        <v>2</v>
      </c>
      <c r="J20" s="40" t="e">
        <f>VLOOKUP(表5[[#This Row],[任务名称]],[2]!表1[#Data],2,FALSE)</f>
        <v>#REF!</v>
      </c>
    </row>
    <row r="21" spans="1:10" x14ac:dyDescent="0.15">
      <c r="A21" s="34">
        <v>1095</v>
      </c>
      <c r="B21" s="35">
        <v>1</v>
      </c>
      <c r="C21" s="36" t="str">
        <f>"activequest_name_"&amp;表5[[#This Row],[任务ID]]</f>
        <v>activequest_name_1095</v>
      </c>
      <c r="D21" s="35">
        <v>19</v>
      </c>
      <c r="E21" s="35">
        <v>0</v>
      </c>
      <c r="F21" s="35">
        <v>1000</v>
      </c>
      <c r="G21" s="38" t="s">
        <v>118</v>
      </c>
      <c r="H21" s="35">
        <v>0</v>
      </c>
      <c r="I21" s="35">
        <v>2</v>
      </c>
      <c r="J21" s="40" t="e">
        <f>VLOOKUP(表5[[#This Row],[任务名称]],[2]!表1[#Data],2,FALSE)</f>
        <v>#REF!</v>
      </c>
    </row>
    <row r="22" spans="1:10" x14ac:dyDescent="0.15">
      <c r="A22" s="34">
        <v>1096</v>
      </c>
      <c r="B22" s="35">
        <v>1</v>
      </c>
      <c r="C22" s="36" t="str">
        <f>"activequest_name_"&amp;表5[[#This Row],[任务ID]]</f>
        <v>activequest_name_1096</v>
      </c>
      <c r="D22" s="35">
        <v>19</v>
      </c>
      <c r="E22" s="35">
        <v>0</v>
      </c>
      <c r="F22" s="35">
        <v>2000</v>
      </c>
      <c r="G22" s="38" t="s">
        <v>119</v>
      </c>
      <c r="H22" s="35">
        <v>0</v>
      </c>
      <c r="I22" s="35">
        <v>2</v>
      </c>
      <c r="J22" s="40" t="e">
        <f>VLOOKUP(表5[[#This Row],[任务名称]],[2]!表1[#Data],2,FALSE)</f>
        <v>#REF!</v>
      </c>
    </row>
    <row r="23" spans="1:10" x14ac:dyDescent="0.15">
      <c r="A23" s="34">
        <v>1097</v>
      </c>
      <c r="B23" s="35">
        <v>1</v>
      </c>
      <c r="C23" s="36" t="str">
        <f>"activequest_name_"&amp;表5[[#This Row],[任务ID]]</f>
        <v>activequest_name_1097</v>
      </c>
      <c r="D23" s="35">
        <v>19</v>
      </c>
      <c r="E23" s="35">
        <v>0</v>
      </c>
      <c r="F23" s="35">
        <v>3000</v>
      </c>
      <c r="G23" s="38" t="s">
        <v>120</v>
      </c>
      <c r="H23" s="35">
        <v>0</v>
      </c>
      <c r="I23" s="35">
        <v>2</v>
      </c>
      <c r="J23" s="40" t="e">
        <f>VLOOKUP(表5[[#This Row],[任务名称]],[2]!表1[#Data],2,FALSE)</f>
        <v>#REF!</v>
      </c>
    </row>
    <row r="24" spans="1:10" x14ac:dyDescent="0.15">
      <c r="A24" s="34">
        <v>1098</v>
      </c>
      <c r="B24" s="35">
        <v>1</v>
      </c>
      <c r="C24" s="36" t="str">
        <f>"activequest_name_"&amp;表5[[#This Row],[任务ID]]</f>
        <v>activequest_name_1098</v>
      </c>
      <c r="D24" s="35">
        <v>19</v>
      </c>
      <c r="E24" s="35">
        <v>0</v>
      </c>
      <c r="F24" s="35">
        <v>5000</v>
      </c>
      <c r="G24" s="38" t="s">
        <v>121</v>
      </c>
      <c r="H24" s="35">
        <v>0</v>
      </c>
      <c r="I24" s="35">
        <v>2</v>
      </c>
      <c r="J24" s="40" t="e">
        <f>VLOOKUP(表5[[#This Row],[任务名称]],[2]!表1[#Data],2,FALSE)</f>
        <v>#REF!</v>
      </c>
    </row>
    <row r="25" spans="1:10" x14ac:dyDescent="0.15">
      <c r="A25" s="34">
        <v>1099</v>
      </c>
      <c r="B25" s="35">
        <v>1</v>
      </c>
      <c r="C25" s="36" t="str">
        <f>"activequest_name_"&amp;表5[[#This Row],[任务ID]]</f>
        <v>activequest_name_1099</v>
      </c>
      <c r="D25" s="35">
        <v>19</v>
      </c>
      <c r="E25" s="35">
        <v>0</v>
      </c>
      <c r="F25" s="35">
        <v>10000</v>
      </c>
      <c r="G25" s="38" t="s">
        <v>122</v>
      </c>
      <c r="H25" s="35">
        <v>0</v>
      </c>
      <c r="I25" s="35">
        <v>2</v>
      </c>
      <c r="J25" s="40" t="e">
        <f>VLOOKUP(表5[[#This Row],[任务名称]],[2]!表1[#Data],2,FALSE)</f>
        <v>#REF!</v>
      </c>
    </row>
    <row r="26" spans="1:10" x14ac:dyDescent="0.15">
      <c r="A26" s="34">
        <v>2001</v>
      </c>
      <c r="B26" s="35">
        <v>2</v>
      </c>
      <c r="C26" s="36" t="str">
        <f>"activequest_name_"&amp;表5[[#This Row],[任务ID]]</f>
        <v>activequest_name_2001</v>
      </c>
      <c r="D26" s="37">
        <v>28</v>
      </c>
      <c r="E26" s="37">
        <v>0</v>
      </c>
      <c r="F26" s="37">
        <v>3</v>
      </c>
      <c r="G26" s="38" t="s">
        <v>170</v>
      </c>
      <c r="H26" s="35">
        <v>1</v>
      </c>
      <c r="I26" s="35">
        <v>1</v>
      </c>
      <c r="J26" s="39" t="e">
        <f>VLOOKUP(表5[[#This Row],[任务名称]],[2]!表1[#Data],2,FALSE)</f>
        <v>#REF!</v>
      </c>
    </row>
    <row r="27" spans="1:10" x14ac:dyDescent="0.15">
      <c r="A27" s="34">
        <v>2002</v>
      </c>
      <c r="B27" s="35">
        <v>2</v>
      </c>
      <c r="C27" s="36" t="str">
        <f>"activequest_name_"&amp;表5[[#This Row],[任务ID]]</f>
        <v>activequest_name_2002</v>
      </c>
      <c r="D27" s="37">
        <v>1</v>
      </c>
      <c r="E27" s="37">
        <v>21</v>
      </c>
      <c r="F27" s="37">
        <v>2</v>
      </c>
      <c r="G27" s="38" t="s">
        <v>171</v>
      </c>
      <c r="H27" s="35">
        <v>1</v>
      </c>
      <c r="I27" s="35">
        <v>1</v>
      </c>
      <c r="J27" s="39" t="e">
        <f>VLOOKUP(表5[[#This Row],[任务名称]],[2]!表1[#Data],2,FALSE)</f>
        <v>#REF!</v>
      </c>
    </row>
    <row r="28" spans="1:10" x14ac:dyDescent="0.15">
      <c r="A28" s="34">
        <v>2003</v>
      </c>
      <c r="B28" s="35">
        <v>2</v>
      </c>
      <c r="C28" s="36" t="str">
        <f>"activequest_name_"&amp;表5[[#This Row],[任务ID]]</f>
        <v>activequest_name_2003</v>
      </c>
      <c r="D28" s="37">
        <v>1</v>
      </c>
      <c r="E28" s="37">
        <v>22</v>
      </c>
      <c r="F28" s="37">
        <v>2</v>
      </c>
      <c r="G28" s="38" t="s">
        <v>172</v>
      </c>
      <c r="H28" s="35">
        <v>1</v>
      </c>
      <c r="I28" s="35">
        <v>1</v>
      </c>
      <c r="J28" s="39" t="e">
        <f>VLOOKUP(表5[[#This Row],[任务名称]],[2]!表1[#Data],2,FALSE)</f>
        <v>#REF!</v>
      </c>
    </row>
    <row r="29" spans="1:10" x14ac:dyDescent="0.15">
      <c r="A29" s="34">
        <v>2004</v>
      </c>
      <c r="B29" s="35">
        <v>2</v>
      </c>
      <c r="C29" s="36" t="str">
        <f>"activequest_name_"&amp;表5[[#This Row],[任务ID]]</f>
        <v>activequest_name_2004</v>
      </c>
      <c r="D29" s="37">
        <v>1</v>
      </c>
      <c r="E29" s="37">
        <v>49</v>
      </c>
      <c r="F29" s="37">
        <v>2</v>
      </c>
      <c r="G29" s="38" t="s">
        <v>170</v>
      </c>
      <c r="H29" s="35">
        <v>1</v>
      </c>
      <c r="I29" s="35">
        <v>1</v>
      </c>
      <c r="J29" s="39" t="e">
        <f>VLOOKUP(表5[[#This Row],[任务名称]],[2]!表1[#Data],2,FALSE)</f>
        <v>#REF!</v>
      </c>
    </row>
    <row r="30" spans="1:10" x14ac:dyDescent="0.15">
      <c r="A30" s="34">
        <v>2005</v>
      </c>
      <c r="B30" s="35">
        <v>2</v>
      </c>
      <c r="C30" s="36" t="str">
        <f>"activequest_name_"&amp;表5[[#This Row],[任务ID]]</f>
        <v>activequest_name_2005</v>
      </c>
      <c r="D30" s="37">
        <v>1</v>
      </c>
      <c r="E30" s="37">
        <v>57</v>
      </c>
      <c r="F30" s="37">
        <v>2</v>
      </c>
      <c r="G30" s="38" t="s">
        <v>171</v>
      </c>
      <c r="H30" s="35">
        <v>1</v>
      </c>
      <c r="I30" s="35">
        <v>1</v>
      </c>
      <c r="J30" s="39" t="e">
        <f>VLOOKUP(表5[[#This Row],[任务名称]],[2]!表1[#Data],2,FALSE)</f>
        <v>#REF!</v>
      </c>
    </row>
    <row r="31" spans="1:10" x14ac:dyDescent="0.15">
      <c r="A31" s="34">
        <v>2006</v>
      </c>
      <c r="B31" s="35">
        <v>2</v>
      </c>
      <c r="C31" s="36" t="str">
        <f>"activequest_name_"&amp;表5[[#This Row],[任务ID]]</f>
        <v>activequest_name_2006</v>
      </c>
      <c r="D31" s="35">
        <v>1</v>
      </c>
      <c r="E31" s="35">
        <v>52</v>
      </c>
      <c r="F31" s="35">
        <v>5</v>
      </c>
      <c r="G31" s="38" t="s">
        <v>172</v>
      </c>
      <c r="H31" s="35">
        <v>1</v>
      </c>
      <c r="I31" s="35">
        <v>1</v>
      </c>
      <c r="J31" s="39" t="e">
        <f>VLOOKUP(表5[[#This Row],[任务名称]],[2]!表1[#Data],2,FALSE)</f>
        <v>#REF!</v>
      </c>
    </row>
    <row r="32" spans="1:10" x14ac:dyDescent="0.15">
      <c r="A32" s="34">
        <v>2007</v>
      </c>
      <c r="B32" s="35">
        <v>2</v>
      </c>
      <c r="C32" s="36" t="str">
        <f>"activequest_name_"&amp;表5[[#This Row],[任务ID]]</f>
        <v>activequest_name_2007</v>
      </c>
      <c r="D32" s="37">
        <v>2</v>
      </c>
      <c r="E32" s="37">
        <v>4</v>
      </c>
      <c r="F32" s="37">
        <v>5</v>
      </c>
      <c r="G32" s="38" t="s">
        <v>170</v>
      </c>
      <c r="H32" s="35">
        <v>1</v>
      </c>
      <c r="I32" s="35">
        <v>1</v>
      </c>
      <c r="J32" s="39" t="e">
        <f>VLOOKUP(表5[[#This Row],[任务名称]],[2]!表1[#Data],2,FALSE)</f>
        <v>#REF!</v>
      </c>
    </row>
    <row r="33" spans="1:10" x14ac:dyDescent="0.15">
      <c r="A33" s="34">
        <v>2008</v>
      </c>
      <c r="B33" s="35">
        <v>2</v>
      </c>
      <c r="C33" s="36" t="str">
        <f>"activequest_name_"&amp;表5[[#This Row],[任务ID]]</f>
        <v>activequest_name_2008</v>
      </c>
      <c r="D33" s="37">
        <v>10</v>
      </c>
      <c r="E33" s="37">
        <v>0</v>
      </c>
      <c r="F33" s="37">
        <v>100</v>
      </c>
      <c r="G33" s="38" t="s">
        <v>204</v>
      </c>
      <c r="H33" s="35">
        <v>1</v>
      </c>
      <c r="I33" s="35">
        <v>1</v>
      </c>
      <c r="J33" s="39" t="e">
        <f>VLOOKUP(表5[[#This Row],[任务名称]],[2]!表1[#Data],2,FALSE)</f>
        <v>#REF!</v>
      </c>
    </row>
    <row r="34" spans="1:10" x14ac:dyDescent="0.15">
      <c r="A34" s="34">
        <v>2009</v>
      </c>
      <c r="B34" s="35">
        <v>2</v>
      </c>
      <c r="C34" s="36" t="str">
        <f>"activequest_name_"&amp;表5[[#This Row],[任务ID]]</f>
        <v>activequest_name_2009</v>
      </c>
      <c r="D34" s="35">
        <v>13</v>
      </c>
      <c r="E34" s="35">
        <v>0</v>
      </c>
      <c r="F34" s="35">
        <v>1</v>
      </c>
      <c r="G34" s="38" t="s">
        <v>172</v>
      </c>
      <c r="H34" s="35">
        <v>1</v>
      </c>
      <c r="I34" s="35">
        <v>1</v>
      </c>
      <c r="J34" s="39" t="e">
        <f>VLOOKUP(表5[[#This Row],[任务名称]],[2]!表1[#Data],2,FALSE)</f>
        <v>#REF!</v>
      </c>
    </row>
    <row r="35" spans="1:10" x14ac:dyDescent="0.15">
      <c r="A35" s="34">
        <v>2010</v>
      </c>
      <c r="B35" s="35">
        <v>2</v>
      </c>
      <c r="C35" s="36" t="str">
        <f>"activequest_name_"&amp;表5[[#This Row],[任务ID]]</f>
        <v>activequest_name_2010</v>
      </c>
      <c r="D35" s="37">
        <v>20</v>
      </c>
      <c r="E35" s="37">
        <v>0</v>
      </c>
      <c r="F35" s="37">
        <v>8</v>
      </c>
      <c r="G35" s="38" t="s">
        <v>173</v>
      </c>
      <c r="H35" s="35">
        <v>0</v>
      </c>
      <c r="I35" s="35">
        <v>1</v>
      </c>
      <c r="J35" s="39" t="e">
        <f>VLOOKUP(表5[[#This Row],[任务名称]],[2]!表1[#Data],2,FALSE)</f>
        <v>#REF!</v>
      </c>
    </row>
    <row r="36" spans="1:10" x14ac:dyDescent="0.15">
      <c r="A36" s="34">
        <v>2011</v>
      </c>
      <c r="B36" s="35">
        <v>2</v>
      </c>
      <c r="C36" s="36" t="str">
        <f>"activequest_name_"&amp;表5[[#This Row],[任务ID]]</f>
        <v>activequest_name_2011</v>
      </c>
      <c r="D36" s="35">
        <v>21</v>
      </c>
      <c r="E36" s="35">
        <v>0</v>
      </c>
      <c r="F36" s="35">
        <v>50</v>
      </c>
      <c r="G36" s="38" t="s">
        <v>166</v>
      </c>
      <c r="H36" s="35">
        <v>0</v>
      </c>
      <c r="I36" s="35">
        <v>1</v>
      </c>
      <c r="J36" s="39" t="e">
        <f>VLOOKUP(表5[[#This Row],[任务名称]],[2]!表1[#Data],2,FALSE)</f>
        <v>#REF!</v>
      </c>
    </row>
    <row r="37" spans="1:10" x14ac:dyDescent="0.15">
      <c r="A37" s="34">
        <v>2012</v>
      </c>
      <c r="B37" s="35">
        <v>2</v>
      </c>
      <c r="C37" s="36" t="str">
        <f>"activequest_name_"&amp;表5[[#This Row],[任务ID]]</f>
        <v>activequest_name_2012</v>
      </c>
      <c r="D37" s="37">
        <v>18</v>
      </c>
      <c r="E37" s="37">
        <v>0</v>
      </c>
      <c r="F37" s="37">
        <v>20</v>
      </c>
      <c r="G37" s="38" t="s">
        <v>167</v>
      </c>
      <c r="H37" s="35">
        <v>0</v>
      </c>
      <c r="I37" s="35">
        <v>1</v>
      </c>
      <c r="J37" s="39" t="e">
        <f>VLOOKUP(表5[[#This Row],[任务名称]],[2]!表1[#Data],2,FALSE)</f>
        <v>#REF!</v>
      </c>
    </row>
    <row r="38" spans="1:10" x14ac:dyDescent="0.15">
      <c r="A38" s="34">
        <v>2013</v>
      </c>
      <c r="B38" s="35">
        <v>2</v>
      </c>
      <c r="C38" s="36" t="str">
        <f>"activequest_name_"&amp;表5[[#This Row],[任务ID]]</f>
        <v>activequest_name_2013</v>
      </c>
      <c r="D38" s="35">
        <v>1</v>
      </c>
      <c r="E38" s="35">
        <v>0</v>
      </c>
      <c r="F38" s="35">
        <v>100000</v>
      </c>
      <c r="G38" s="38" t="s">
        <v>169</v>
      </c>
      <c r="H38" s="35">
        <v>0</v>
      </c>
      <c r="I38" s="35">
        <v>1</v>
      </c>
      <c r="J38" s="39" t="e">
        <f>VLOOKUP(表5[[#This Row],[任务名称]],[2]!表1[#Data],2,FALSE)</f>
        <v>#REF!</v>
      </c>
    </row>
    <row r="39" spans="1:10" x14ac:dyDescent="0.15">
      <c r="A39" s="34">
        <v>2014</v>
      </c>
      <c r="B39" s="35">
        <v>2</v>
      </c>
      <c r="C39" s="36" t="str">
        <f>"activequest_name_"&amp;表5[[#This Row],[任务ID]]</f>
        <v>activequest_name_2014</v>
      </c>
      <c r="D39" s="35">
        <v>13</v>
      </c>
      <c r="E39" s="35">
        <v>0</v>
      </c>
      <c r="F39" s="35">
        <v>10</v>
      </c>
      <c r="G39" s="38" t="s">
        <v>205</v>
      </c>
      <c r="H39" s="35">
        <v>0</v>
      </c>
      <c r="I39" s="35">
        <v>1</v>
      </c>
      <c r="J39" s="39" t="e">
        <f>VLOOKUP(表5[[#This Row],[任务名称]],[2]!表1[#Data],2,FALSE)</f>
        <v>#REF!</v>
      </c>
    </row>
    <row r="40" spans="1:10" x14ac:dyDescent="0.15">
      <c r="A40" s="34">
        <v>2015</v>
      </c>
      <c r="B40" s="35">
        <v>2</v>
      </c>
      <c r="C40" s="36" t="str">
        <f>"activequest_name_"&amp;表5[[#This Row],[任务ID]]</f>
        <v>activequest_name_2015</v>
      </c>
      <c r="D40" s="37">
        <v>2</v>
      </c>
      <c r="E40" s="37">
        <v>3</v>
      </c>
      <c r="F40" s="37">
        <v>100</v>
      </c>
      <c r="G40" s="38" t="s">
        <v>206</v>
      </c>
      <c r="H40" s="35">
        <v>0</v>
      </c>
      <c r="I40" s="35">
        <v>1</v>
      </c>
      <c r="J40" s="39" t="e">
        <f>VLOOKUP(表5[[#This Row],[任务名称]],[2]!表1[#Data],2,FALSE)</f>
        <v>#REF!</v>
      </c>
    </row>
    <row r="41" spans="1:10" x14ac:dyDescent="0.15">
      <c r="A41" s="34">
        <v>2100</v>
      </c>
      <c r="B41" s="35">
        <v>2</v>
      </c>
      <c r="C41" s="36" t="str">
        <f>"activequest_name_"&amp;表5[[#This Row],[任务ID]]</f>
        <v>activequest_name_2100</v>
      </c>
      <c r="D41" s="35">
        <v>19</v>
      </c>
      <c r="E41" s="35">
        <v>1</v>
      </c>
      <c r="F41" s="35">
        <v>1</v>
      </c>
      <c r="G41" s="38" t="s">
        <v>168</v>
      </c>
      <c r="H41" s="35">
        <v>1</v>
      </c>
      <c r="I41" s="35">
        <v>2</v>
      </c>
      <c r="J41" s="39" t="e">
        <f>VLOOKUP(表5[[#This Row],[任务名称]],[2]!表1[#Data],2,FALSE)</f>
        <v>#REF!</v>
      </c>
    </row>
    <row r="42" spans="1:10" x14ac:dyDescent="0.15">
      <c r="A42" s="34">
        <v>2101</v>
      </c>
      <c r="B42" s="35">
        <v>2</v>
      </c>
      <c r="C42" s="36" t="str">
        <f>"activequest_name_"&amp;表5[[#This Row],[任务ID]]</f>
        <v>activequest_name_2101</v>
      </c>
      <c r="D42" s="35">
        <v>19</v>
      </c>
      <c r="E42" s="35">
        <v>0</v>
      </c>
      <c r="F42" s="35">
        <v>100</v>
      </c>
      <c r="G42" s="38" t="s">
        <v>174</v>
      </c>
      <c r="H42" s="35">
        <v>0</v>
      </c>
      <c r="I42" s="35">
        <v>2</v>
      </c>
      <c r="J42" s="39" t="e">
        <f>VLOOKUP(表5[[#This Row],[任务名称]],[2]!表1[#Data],2,FALSE)</f>
        <v>#REF!</v>
      </c>
    </row>
    <row r="43" spans="1:10" x14ac:dyDescent="0.15">
      <c r="A43" s="34">
        <v>2102</v>
      </c>
      <c r="B43" s="35">
        <v>2</v>
      </c>
      <c r="C43" s="36" t="str">
        <f>"activequest_name_"&amp;表5[[#This Row],[任务ID]]</f>
        <v>activequest_name_2102</v>
      </c>
      <c r="D43" s="35">
        <v>19</v>
      </c>
      <c r="E43" s="35">
        <v>0</v>
      </c>
      <c r="F43" s="35">
        <v>200</v>
      </c>
      <c r="G43" s="38" t="s">
        <v>174</v>
      </c>
      <c r="H43" s="35">
        <v>0</v>
      </c>
      <c r="I43" s="35">
        <v>2</v>
      </c>
      <c r="J43" s="39" t="e">
        <f>VLOOKUP(表5[[#This Row],[任务名称]],[2]!表1[#Data],2,FALSE)</f>
        <v>#REF!</v>
      </c>
    </row>
    <row r="44" spans="1:10" x14ac:dyDescent="0.15">
      <c r="A44" s="34">
        <v>2103</v>
      </c>
      <c r="B44" s="35">
        <v>2</v>
      </c>
      <c r="C44" s="36" t="str">
        <f>"activequest_name_"&amp;表5[[#This Row],[任务ID]]</f>
        <v>activequest_name_2103</v>
      </c>
      <c r="D44" s="35">
        <v>19</v>
      </c>
      <c r="E44" s="35">
        <v>0</v>
      </c>
      <c r="F44" s="35">
        <v>400</v>
      </c>
      <c r="G44" s="38" t="s">
        <v>175</v>
      </c>
      <c r="H44" s="35">
        <v>0</v>
      </c>
      <c r="I44" s="35">
        <v>2</v>
      </c>
      <c r="J44" s="39" t="e">
        <f>VLOOKUP(表5[[#This Row],[任务名称]],[2]!表1[#Data],2,FALSE)</f>
        <v>#REF!</v>
      </c>
    </row>
    <row r="45" spans="1:10" x14ac:dyDescent="0.15">
      <c r="A45" s="34">
        <v>2104</v>
      </c>
      <c r="B45" s="35">
        <v>2</v>
      </c>
      <c r="C45" s="36" t="str">
        <f>"activequest_name_"&amp;表5[[#This Row],[任务ID]]</f>
        <v>activequest_name_2104</v>
      </c>
      <c r="D45" s="35">
        <v>19</v>
      </c>
      <c r="E45" s="35">
        <v>0</v>
      </c>
      <c r="F45" s="35">
        <v>600</v>
      </c>
      <c r="G45" s="38" t="s">
        <v>176</v>
      </c>
      <c r="H45" s="35">
        <v>0</v>
      </c>
      <c r="I45" s="35">
        <v>2</v>
      </c>
      <c r="J45" s="40" t="e">
        <f>VLOOKUP(表5[[#This Row],[任务名称]],[2]!表1[#Data],2,FALSE)</f>
        <v>#REF!</v>
      </c>
    </row>
    <row r="46" spans="1:10" x14ac:dyDescent="0.15">
      <c r="A46" s="34">
        <v>2105</v>
      </c>
      <c r="B46" s="35">
        <v>2</v>
      </c>
      <c r="C46" s="36" t="str">
        <f>"activequest_name_"&amp;表5[[#This Row],[任务ID]]</f>
        <v>activequest_name_2105</v>
      </c>
      <c r="D46" s="35">
        <v>19</v>
      </c>
      <c r="E46" s="35">
        <v>0</v>
      </c>
      <c r="F46" s="35">
        <v>1000</v>
      </c>
      <c r="G46" s="38" t="s">
        <v>177</v>
      </c>
      <c r="H46" s="35">
        <v>0</v>
      </c>
      <c r="I46" s="35">
        <v>2</v>
      </c>
      <c r="J46" s="40" t="e">
        <f>VLOOKUP(表5[[#This Row],[任务名称]],[2]!表1[#Data],2,FALSE)</f>
        <v>#REF!</v>
      </c>
    </row>
    <row r="47" spans="1:10" x14ac:dyDescent="0.15">
      <c r="A47" s="34">
        <v>2106</v>
      </c>
      <c r="B47" s="35">
        <v>2</v>
      </c>
      <c r="C47" s="36" t="str">
        <f>"activequest_name_"&amp;表5[[#This Row],[任务ID]]</f>
        <v>activequest_name_2106</v>
      </c>
      <c r="D47" s="35">
        <v>19</v>
      </c>
      <c r="E47" s="35">
        <v>0</v>
      </c>
      <c r="F47" s="35">
        <v>2000</v>
      </c>
      <c r="G47" s="38" t="s">
        <v>178</v>
      </c>
      <c r="H47" s="35">
        <v>0</v>
      </c>
      <c r="I47" s="35">
        <v>2</v>
      </c>
      <c r="J47" s="40" t="e">
        <f>VLOOKUP(表5[[#This Row],[任务名称]],[2]!表1[#Data],2,FALSE)</f>
        <v>#REF!</v>
      </c>
    </row>
    <row r="48" spans="1:10" x14ac:dyDescent="0.15">
      <c r="A48" s="34">
        <v>2107</v>
      </c>
      <c r="B48" s="35">
        <v>2</v>
      </c>
      <c r="C48" s="36" t="str">
        <f>"activequest_name_"&amp;表5[[#This Row],[任务ID]]</f>
        <v>activequest_name_2107</v>
      </c>
      <c r="D48" s="35">
        <v>19</v>
      </c>
      <c r="E48" s="35">
        <v>0</v>
      </c>
      <c r="F48" s="35">
        <v>3000</v>
      </c>
      <c r="G48" s="38" t="s">
        <v>179</v>
      </c>
      <c r="H48" s="35">
        <v>0</v>
      </c>
      <c r="I48" s="35">
        <v>2</v>
      </c>
      <c r="J48" s="40" t="e">
        <f>VLOOKUP(表5[[#This Row],[任务名称]],[2]!表1[#Data],2,FALSE)</f>
        <v>#REF!</v>
      </c>
    </row>
    <row r="49" spans="1:10" x14ac:dyDescent="0.15">
      <c r="A49" s="34">
        <v>2108</v>
      </c>
      <c r="B49" s="35">
        <v>2</v>
      </c>
      <c r="C49" s="36" t="str">
        <f>"activequest_name_"&amp;表5[[#This Row],[任务ID]]</f>
        <v>activequest_name_2108</v>
      </c>
      <c r="D49" s="35">
        <v>19</v>
      </c>
      <c r="E49" s="35">
        <v>0</v>
      </c>
      <c r="F49" s="35">
        <v>5000</v>
      </c>
      <c r="G49" s="38" t="s">
        <v>180</v>
      </c>
      <c r="H49" s="35">
        <v>0</v>
      </c>
      <c r="I49" s="35">
        <v>2</v>
      </c>
      <c r="J49" s="40" t="e">
        <f>VLOOKUP(表5[[#This Row],[任务名称]],[2]!表1[#Data],2,FALSE)</f>
        <v>#REF!</v>
      </c>
    </row>
    <row r="50" spans="1:10" x14ac:dyDescent="0.15">
      <c r="A50" s="34">
        <v>2109</v>
      </c>
      <c r="B50" s="35">
        <v>2</v>
      </c>
      <c r="C50" s="36" t="str">
        <f>"activequest_name_"&amp;表5[[#This Row],[任务ID]]</f>
        <v>activequest_name_2109</v>
      </c>
      <c r="D50" s="35">
        <v>19</v>
      </c>
      <c r="E50" s="35">
        <v>0</v>
      </c>
      <c r="F50" s="35">
        <v>10000</v>
      </c>
      <c r="G50" s="38" t="s">
        <v>181</v>
      </c>
      <c r="H50" s="35">
        <v>0</v>
      </c>
      <c r="I50" s="35">
        <v>2</v>
      </c>
      <c r="J50" s="40" t="e">
        <f>VLOOKUP(表5[[#This Row],[任务名称]],[2]!表1[#Data],2,FALSE)</f>
        <v>#REF!</v>
      </c>
    </row>
    <row r="51" spans="1:10" x14ac:dyDescent="0.15">
      <c r="A51" s="9">
        <v>3001</v>
      </c>
      <c r="B51" s="7">
        <v>3</v>
      </c>
      <c r="C51" s="10" t="s">
        <v>214</v>
      </c>
      <c r="D51" s="30">
        <v>28</v>
      </c>
      <c r="E51" s="30">
        <v>0</v>
      </c>
      <c r="F51" s="30">
        <v>5</v>
      </c>
      <c r="G51" s="11" t="s">
        <v>244</v>
      </c>
      <c r="H51" s="7">
        <v>1</v>
      </c>
      <c r="I51" s="7">
        <v>1</v>
      </c>
      <c r="J51" t="e">
        <f>VLOOKUP(表5[[#This Row],[任务名称]],[2]!表1[#Data],2,FALSE)</f>
        <v>#REF!</v>
      </c>
    </row>
    <row r="52" spans="1:10" x14ac:dyDescent="0.15">
      <c r="A52" s="9">
        <v>3002</v>
      </c>
      <c r="B52" s="7">
        <v>3</v>
      </c>
      <c r="C52" s="10" t="s">
        <v>215</v>
      </c>
      <c r="D52" s="30">
        <v>1</v>
      </c>
      <c r="E52" s="30">
        <v>21</v>
      </c>
      <c r="F52" s="30">
        <v>2</v>
      </c>
      <c r="G52" s="11" t="s">
        <v>240</v>
      </c>
      <c r="H52" s="7">
        <v>1</v>
      </c>
      <c r="I52" s="7">
        <v>1</v>
      </c>
      <c r="J52" t="e">
        <f>VLOOKUP(表5[[#This Row],[任务名称]],[2]!表1[#Data],2,FALSE)</f>
        <v>#REF!</v>
      </c>
    </row>
    <row r="53" spans="1:10" x14ac:dyDescent="0.15">
      <c r="A53" s="9">
        <v>3003</v>
      </c>
      <c r="B53" s="7">
        <v>3</v>
      </c>
      <c r="C53" s="10" t="s">
        <v>216</v>
      </c>
      <c r="D53" s="30">
        <v>1</v>
      </c>
      <c r="E53" s="30">
        <v>22</v>
      </c>
      <c r="F53" s="30">
        <v>2</v>
      </c>
      <c r="G53" s="11" t="s">
        <v>245</v>
      </c>
      <c r="H53" s="7">
        <v>1</v>
      </c>
      <c r="I53" s="7">
        <v>1</v>
      </c>
      <c r="J53" t="e">
        <f>VLOOKUP(表5[[#This Row],[任务名称]],[2]!表1[#Data],2,FALSE)</f>
        <v>#REF!</v>
      </c>
    </row>
    <row r="54" spans="1:10" x14ac:dyDescent="0.15">
      <c r="A54" s="9">
        <v>3004</v>
      </c>
      <c r="B54" s="7">
        <v>3</v>
      </c>
      <c r="C54" s="10" t="s">
        <v>217</v>
      </c>
      <c r="D54" s="30">
        <v>1</v>
      </c>
      <c r="E54" s="30">
        <v>49</v>
      </c>
      <c r="F54" s="30">
        <v>2</v>
      </c>
      <c r="G54" s="11" t="s">
        <v>241</v>
      </c>
      <c r="H54" s="7">
        <v>1</v>
      </c>
      <c r="I54" s="7">
        <v>1</v>
      </c>
      <c r="J54" t="e">
        <f>VLOOKUP(表5[[#This Row],[任务名称]],[2]!表1[#Data],2,FALSE)</f>
        <v>#REF!</v>
      </c>
    </row>
    <row r="55" spans="1:10" x14ac:dyDescent="0.15">
      <c r="A55" s="9">
        <v>3005</v>
      </c>
      <c r="B55" s="7">
        <v>3</v>
      </c>
      <c r="C55" s="10" t="s">
        <v>218</v>
      </c>
      <c r="D55" s="30">
        <v>1</v>
      </c>
      <c r="E55" s="30">
        <v>57</v>
      </c>
      <c r="F55" s="30">
        <v>2</v>
      </c>
      <c r="G55" s="11" t="s">
        <v>242</v>
      </c>
      <c r="H55" s="7">
        <v>1</v>
      </c>
      <c r="I55" s="7">
        <v>1</v>
      </c>
      <c r="J55" t="e">
        <f>VLOOKUP(表5[[#This Row],[任务名称]],[2]!表1[#Data],2,FALSE)</f>
        <v>#REF!</v>
      </c>
    </row>
    <row r="56" spans="1:10" x14ac:dyDescent="0.15">
      <c r="A56" s="9">
        <v>3006</v>
      </c>
      <c r="B56" s="7">
        <v>3</v>
      </c>
      <c r="C56" s="10" t="s">
        <v>219</v>
      </c>
      <c r="D56" s="7">
        <v>1</v>
      </c>
      <c r="E56" s="7">
        <v>52</v>
      </c>
      <c r="F56" s="7">
        <v>5</v>
      </c>
      <c r="G56" s="11" t="s">
        <v>246</v>
      </c>
      <c r="H56" s="7">
        <v>1</v>
      </c>
      <c r="I56" s="7">
        <v>1</v>
      </c>
      <c r="J56" t="e">
        <f>VLOOKUP(表5[[#This Row],[任务名称]],[2]!表1[#Data],2,FALSE)</f>
        <v>#REF!</v>
      </c>
    </row>
    <row r="57" spans="1:10" x14ac:dyDescent="0.15">
      <c r="A57" s="9">
        <v>3007</v>
      </c>
      <c r="B57" s="7">
        <v>3</v>
      </c>
      <c r="C57" s="10" t="s">
        <v>220</v>
      </c>
      <c r="D57" s="30">
        <v>2</v>
      </c>
      <c r="E57" s="30">
        <v>4</v>
      </c>
      <c r="F57" s="30">
        <v>10</v>
      </c>
      <c r="G57" s="11" t="s">
        <v>243</v>
      </c>
      <c r="H57" s="7">
        <v>1</v>
      </c>
      <c r="I57" s="7">
        <v>1</v>
      </c>
      <c r="J57" t="e">
        <f>VLOOKUP(表5[[#This Row],[任务名称]],[2]!表1[#Data],2,FALSE)</f>
        <v>#REF!</v>
      </c>
    </row>
    <row r="58" spans="1:10" x14ac:dyDescent="0.15">
      <c r="A58" s="9">
        <v>3008</v>
      </c>
      <c r="B58" s="7">
        <v>3</v>
      </c>
      <c r="C58" s="10" t="s">
        <v>221</v>
      </c>
      <c r="D58" s="30">
        <v>10</v>
      </c>
      <c r="E58" s="30">
        <v>0</v>
      </c>
      <c r="F58" s="30">
        <v>50</v>
      </c>
      <c r="G58" s="11" t="s">
        <v>247</v>
      </c>
      <c r="H58" s="7">
        <v>1</v>
      </c>
      <c r="I58" s="7">
        <v>1</v>
      </c>
      <c r="J58" t="e">
        <f>VLOOKUP(表5[[#This Row],[任务名称]],[2]!表1[#Data],2,FALSE)</f>
        <v>#REF!</v>
      </c>
    </row>
    <row r="59" spans="1:10" x14ac:dyDescent="0.15">
      <c r="A59" s="9">
        <v>3009</v>
      </c>
      <c r="B59" s="7">
        <v>3</v>
      </c>
      <c r="C59" s="10" t="s">
        <v>222</v>
      </c>
      <c r="D59" s="7">
        <v>13</v>
      </c>
      <c r="E59" s="7">
        <v>0</v>
      </c>
      <c r="F59" s="7">
        <v>1</v>
      </c>
      <c r="G59" s="11" t="s">
        <v>244</v>
      </c>
      <c r="H59" s="7">
        <v>1</v>
      </c>
      <c r="I59" s="7">
        <v>1</v>
      </c>
      <c r="J59" t="e">
        <f>VLOOKUP(表5[[#This Row],[任务名称]],[2]!表1[#Data],2,FALSE)</f>
        <v>#REF!</v>
      </c>
    </row>
    <row r="60" spans="1:10" x14ac:dyDescent="0.15">
      <c r="A60" s="9">
        <v>3010</v>
      </c>
      <c r="B60" s="7">
        <v>3</v>
      </c>
      <c r="C60" s="10" t="s">
        <v>223</v>
      </c>
      <c r="D60" s="30">
        <v>20</v>
      </c>
      <c r="E60" s="30">
        <v>0</v>
      </c>
      <c r="F60" s="30">
        <v>10</v>
      </c>
      <c r="G60" s="11" t="s">
        <v>248</v>
      </c>
      <c r="H60" s="7">
        <v>0</v>
      </c>
      <c r="I60" s="7">
        <v>1</v>
      </c>
      <c r="J60" t="e">
        <f>VLOOKUP(表5[[#This Row],[任务名称]],[2]!表1[#Data],2,FALSE)</f>
        <v>#REF!</v>
      </c>
    </row>
    <row r="61" spans="1:10" x14ac:dyDescent="0.15">
      <c r="A61" s="9">
        <v>3011</v>
      </c>
      <c r="B61" s="7">
        <v>3</v>
      </c>
      <c r="C61" s="10" t="s">
        <v>224</v>
      </c>
      <c r="D61" s="7">
        <v>21</v>
      </c>
      <c r="E61" s="7">
        <v>0</v>
      </c>
      <c r="F61" s="7">
        <v>50</v>
      </c>
      <c r="G61" s="11" t="s">
        <v>249</v>
      </c>
      <c r="H61" s="7">
        <v>0</v>
      </c>
      <c r="I61" s="7">
        <v>1</v>
      </c>
      <c r="J61" t="e">
        <f>VLOOKUP(表5[[#This Row],[任务名称]],[2]!表1[#Data],2,FALSE)</f>
        <v>#REF!</v>
      </c>
    </row>
    <row r="62" spans="1:10" x14ac:dyDescent="0.15">
      <c r="A62" s="9">
        <v>3012</v>
      </c>
      <c r="B62" s="7">
        <v>3</v>
      </c>
      <c r="C62" s="10" t="s">
        <v>225</v>
      </c>
      <c r="D62" s="30">
        <v>18</v>
      </c>
      <c r="E62" s="30">
        <v>0</v>
      </c>
      <c r="F62" s="30">
        <v>20</v>
      </c>
      <c r="G62" s="11" t="s">
        <v>250</v>
      </c>
      <c r="H62" s="7">
        <v>0</v>
      </c>
      <c r="I62" s="7">
        <v>1</v>
      </c>
      <c r="J62" t="e">
        <f>VLOOKUP(表5[[#This Row],[任务名称]],[2]!表1[#Data],2,FALSE)</f>
        <v>#REF!</v>
      </c>
    </row>
    <row r="63" spans="1:10" x14ac:dyDescent="0.15">
      <c r="A63" s="9">
        <v>3013</v>
      </c>
      <c r="B63" s="7">
        <v>3</v>
      </c>
      <c r="C63" s="10" t="s">
        <v>226</v>
      </c>
      <c r="D63" s="7">
        <v>1</v>
      </c>
      <c r="E63" s="7">
        <v>0</v>
      </c>
      <c r="F63" s="7">
        <v>100000</v>
      </c>
      <c r="G63" s="11" t="s">
        <v>251</v>
      </c>
      <c r="H63" s="7">
        <v>0</v>
      </c>
      <c r="I63" s="7">
        <v>1</v>
      </c>
      <c r="J63" t="e">
        <f>VLOOKUP(表5[[#This Row],[任务名称]],[2]!表1[#Data],2,FALSE)</f>
        <v>#REF!</v>
      </c>
    </row>
    <row r="64" spans="1:10" x14ac:dyDescent="0.15">
      <c r="A64" s="9">
        <v>3014</v>
      </c>
      <c r="B64" s="7">
        <v>3</v>
      </c>
      <c r="C64" s="10" t="s">
        <v>227</v>
      </c>
      <c r="D64" s="7">
        <v>13</v>
      </c>
      <c r="E64" s="7">
        <v>0</v>
      </c>
      <c r="F64" s="7">
        <v>12</v>
      </c>
      <c r="G64" s="11" t="s">
        <v>252</v>
      </c>
      <c r="H64" s="7">
        <v>0</v>
      </c>
      <c r="I64" s="7">
        <v>1</v>
      </c>
      <c r="J64" t="e">
        <f>VLOOKUP(表5[[#This Row],[任务名称]],[2]!表1[#Data],2,FALSE)</f>
        <v>#REF!</v>
      </c>
    </row>
    <row r="65" spans="1:10" x14ac:dyDescent="0.15">
      <c r="A65" s="9">
        <v>3015</v>
      </c>
      <c r="B65" s="7">
        <v>3</v>
      </c>
      <c r="C65" s="10" t="s">
        <v>228</v>
      </c>
      <c r="D65" s="30">
        <v>2</v>
      </c>
      <c r="E65" s="30">
        <v>3</v>
      </c>
      <c r="F65" s="30">
        <v>100</v>
      </c>
      <c r="G65" s="11" t="s">
        <v>253</v>
      </c>
      <c r="H65" s="7">
        <v>0</v>
      </c>
      <c r="I65" s="7">
        <v>1</v>
      </c>
      <c r="J65" t="e">
        <f>VLOOKUP(表5[[#This Row],[任务名称]],[2]!表1[#Data],2,FALSE)</f>
        <v>#REF!</v>
      </c>
    </row>
    <row r="66" spans="1:10" x14ac:dyDescent="0.15">
      <c r="A66" s="9">
        <v>3100</v>
      </c>
      <c r="B66" s="7">
        <v>3</v>
      </c>
      <c r="C66" s="10" t="s">
        <v>229</v>
      </c>
      <c r="D66" s="7">
        <v>19</v>
      </c>
      <c r="E66" s="7">
        <v>1</v>
      </c>
      <c r="F66" s="7">
        <v>1</v>
      </c>
      <c r="G66" s="11" t="s">
        <v>248</v>
      </c>
      <c r="H66" s="7">
        <v>1</v>
      </c>
      <c r="I66" s="7">
        <v>2</v>
      </c>
      <c r="J66" t="e">
        <f>VLOOKUP(表5[[#This Row],[任务名称]],[2]!表1[#Data],2,FALSE)</f>
        <v>#REF!</v>
      </c>
    </row>
    <row r="67" spans="1:10" x14ac:dyDescent="0.15">
      <c r="A67" s="9">
        <v>3101</v>
      </c>
      <c r="B67" s="7">
        <v>3</v>
      </c>
      <c r="C67" s="10" t="s">
        <v>230</v>
      </c>
      <c r="D67" s="7">
        <v>19</v>
      </c>
      <c r="E67" s="7">
        <v>0</v>
      </c>
      <c r="F67" s="7">
        <v>100</v>
      </c>
      <c r="G67" s="11" t="s">
        <v>285</v>
      </c>
      <c r="H67" s="7">
        <v>0</v>
      </c>
      <c r="I67" s="7">
        <v>2</v>
      </c>
      <c r="J67" t="e">
        <f>VLOOKUP(表5[[#This Row],[任务名称]],[2]!表1[#Data],2,FALSE)</f>
        <v>#REF!</v>
      </c>
    </row>
    <row r="68" spans="1:10" x14ac:dyDescent="0.15">
      <c r="A68" s="9">
        <v>3102</v>
      </c>
      <c r="B68" s="7">
        <v>3</v>
      </c>
      <c r="C68" s="10" t="s">
        <v>231</v>
      </c>
      <c r="D68" s="7">
        <v>19</v>
      </c>
      <c r="E68" s="7">
        <v>0</v>
      </c>
      <c r="F68" s="7">
        <v>200</v>
      </c>
      <c r="G68" s="11" t="s">
        <v>286</v>
      </c>
      <c r="H68" s="7">
        <v>0</v>
      </c>
      <c r="I68" s="7">
        <v>2</v>
      </c>
      <c r="J68" t="e">
        <f>VLOOKUP(表5[[#This Row],[任务名称]],[2]!表1[#Data],2,FALSE)</f>
        <v>#REF!</v>
      </c>
    </row>
    <row r="69" spans="1:10" x14ac:dyDescent="0.15">
      <c r="A69" s="9">
        <v>3103</v>
      </c>
      <c r="B69" s="7">
        <v>3</v>
      </c>
      <c r="C69" s="10" t="s">
        <v>232</v>
      </c>
      <c r="D69" s="7">
        <v>19</v>
      </c>
      <c r="E69" s="7">
        <v>0</v>
      </c>
      <c r="F69" s="7">
        <v>400</v>
      </c>
      <c r="G69" s="11" t="s">
        <v>287</v>
      </c>
      <c r="H69" s="7">
        <v>0</v>
      </c>
      <c r="I69" s="7">
        <v>2</v>
      </c>
      <c r="J69" t="e">
        <f>VLOOKUP(表5[[#This Row],[任务名称]],[2]!表1[#Data],2,FALSE)</f>
        <v>#REF!</v>
      </c>
    </row>
    <row r="70" spans="1:10" x14ac:dyDescent="0.15">
      <c r="A70" s="9">
        <v>3104</v>
      </c>
      <c r="B70" s="7">
        <v>3</v>
      </c>
      <c r="C70" s="10" t="s">
        <v>233</v>
      </c>
      <c r="D70" s="7">
        <v>19</v>
      </c>
      <c r="E70" s="7">
        <v>0</v>
      </c>
      <c r="F70" s="7">
        <v>600</v>
      </c>
      <c r="G70" s="11" t="s">
        <v>288</v>
      </c>
      <c r="H70" s="7">
        <v>0</v>
      </c>
      <c r="I70" s="7">
        <v>2</v>
      </c>
      <c r="J70" s="41" t="e">
        <f>VLOOKUP(表5[[#This Row],[任务名称]],[2]!表1[#Data],2,FALSE)</f>
        <v>#REF!</v>
      </c>
    </row>
    <row r="71" spans="1:10" x14ac:dyDescent="0.15">
      <c r="A71" s="9">
        <v>3105</v>
      </c>
      <c r="B71" s="7">
        <v>3</v>
      </c>
      <c r="C71" s="10" t="s">
        <v>234</v>
      </c>
      <c r="D71" s="7">
        <v>19</v>
      </c>
      <c r="E71" s="7">
        <v>0</v>
      </c>
      <c r="F71" s="7">
        <v>1000</v>
      </c>
      <c r="G71" s="11" t="s">
        <v>289</v>
      </c>
      <c r="H71" s="7">
        <v>0</v>
      </c>
      <c r="I71" s="7">
        <v>2</v>
      </c>
      <c r="J71" s="41" t="e">
        <f>VLOOKUP(表5[[#This Row],[任务名称]],[2]!表1[#Data],2,FALSE)</f>
        <v>#REF!</v>
      </c>
    </row>
    <row r="72" spans="1:10" x14ac:dyDescent="0.15">
      <c r="A72" s="9">
        <v>3106</v>
      </c>
      <c r="B72" s="7">
        <v>3</v>
      </c>
      <c r="C72" s="10" t="s">
        <v>235</v>
      </c>
      <c r="D72" s="7">
        <v>19</v>
      </c>
      <c r="E72" s="7">
        <v>0</v>
      </c>
      <c r="F72" s="7">
        <v>2000</v>
      </c>
      <c r="G72" s="11" t="s">
        <v>290</v>
      </c>
      <c r="H72" s="7">
        <v>0</v>
      </c>
      <c r="I72" s="7">
        <v>2</v>
      </c>
      <c r="J72" s="41" t="e">
        <f>VLOOKUP(表5[[#This Row],[任务名称]],[2]!表1[#Data],2,FALSE)</f>
        <v>#REF!</v>
      </c>
    </row>
    <row r="73" spans="1:10" x14ac:dyDescent="0.15">
      <c r="A73" s="9">
        <v>3107</v>
      </c>
      <c r="B73" s="7">
        <v>3</v>
      </c>
      <c r="C73" s="10" t="s">
        <v>236</v>
      </c>
      <c r="D73" s="7">
        <v>19</v>
      </c>
      <c r="E73" s="7">
        <v>0</v>
      </c>
      <c r="F73" s="7">
        <v>3000</v>
      </c>
      <c r="G73" s="11" t="s">
        <v>291</v>
      </c>
      <c r="H73" s="7">
        <v>0</v>
      </c>
      <c r="I73" s="7">
        <v>2</v>
      </c>
      <c r="J73" s="41" t="e">
        <f>VLOOKUP(表5[[#This Row],[任务名称]],[2]!表1[#Data],2,FALSE)</f>
        <v>#REF!</v>
      </c>
    </row>
    <row r="74" spans="1:10" x14ac:dyDescent="0.15">
      <c r="A74" s="9">
        <v>3108</v>
      </c>
      <c r="B74" s="7">
        <v>3</v>
      </c>
      <c r="C74" s="10" t="s">
        <v>237</v>
      </c>
      <c r="D74" s="7">
        <v>19</v>
      </c>
      <c r="E74" s="7">
        <v>0</v>
      </c>
      <c r="F74" s="7">
        <v>5000</v>
      </c>
      <c r="G74" s="11" t="s">
        <v>292</v>
      </c>
      <c r="H74" s="7">
        <v>0</v>
      </c>
      <c r="I74" s="7">
        <v>2</v>
      </c>
      <c r="J74" s="41" t="e">
        <f>VLOOKUP(表5[[#This Row],[任务名称]],[2]!表1[#Data],2,FALSE)</f>
        <v>#REF!</v>
      </c>
    </row>
    <row r="75" spans="1:10" x14ac:dyDescent="0.15">
      <c r="A75" s="9">
        <v>3109</v>
      </c>
      <c r="B75" s="7">
        <v>3</v>
      </c>
      <c r="C75" s="10" t="s">
        <v>238</v>
      </c>
      <c r="D75" s="7">
        <v>19</v>
      </c>
      <c r="E75" s="7">
        <v>0</v>
      </c>
      <c r="F75" s="7">
        <v>10000</v>
      </c>
      <c r="G75" s="11" t="s">
        <v>274</v>
      </c>
      <c r="H75" s="7">
        <v>0</v>
      </c>
      <c r="I75" s="7">
        <v>2</v>
      </c>
      <c r="J75" s="41" t="e">
        <f>VLOOKUP(表5[[#This Row],[任务名称]],[2]!表1[#Data],2,FALSE)</f>
        <v>#REF!</v>
      </c>
    </row>
    <row r="76" spans="1:10" x14ac:dyDescent="0.15">
      <c r="A76" s="9">
        <v>3110</v>
      </c>
      <c r="B76" s="7">
        <v>3</v>
      </c>
      <c r="C76" s="10" t="s">
        <v>254</v>
      </c>
      <c r="D76" s="7">
        <v>19</v>
      </c>
      <c r="E76" s="7">
        <v>0</v>
      </c>
      <c r="F76" s="7">
        <v>15000</v>
      </c>
      <c r="G76" s="11" t="s">
        <v>258</v>
      </c>
      <c r="H76" s="7">
        <v>0</v>
      </c>
      <c r="I76" s="7">
        <v>2</v>
      </c>
      <c r="J76" s="41" t="e">
        <f>VLOOKUP(表5[[#This Row],[任务名称]],[2]!表1[#Data],2,FALSE)</f>
        <v>#REF!</v>
      </c>
    </row>
    <row r="77" spans="1:10" x14ac:dyDescent="0.15">
      <c r="A77" s="9">
        <v>3111</v>
      </c>
      <c r="B77" s="7">
        <v>3</v>
      </c>
      <c r="C77" s="10" t="s">
        <v>255</v>
      </c>
      <c r="D77" s="7">
        <v>19</v>
      </c>
      <c r="E77" s="7">
        <v>0</v>
      </c>
      <c r="F77" s="7">
        <v>20000</v>
      </c>
      <c r="G77" s="11" t="s">
        <v>257</v>
      </c>
      <c r="H77" s="7">
        <v>0</v>
      </c>
      <c r="I77" s="7">
        <v>2</v>
      </c>
      <c r="J77" s="41" t="e">
        <f>VLOOKUP(表5[[#This Row],[任务名称]],[2]!表1[#Data],2,FALSE)</f>
        <v>#REF!</v>
      </c>
    </row>
    <row r="78" spans="1:10" x14ac:dyDescent="0.15">
      <c r="A78" s="9">
        <v>3112</v>
      </c>
      <c r="B78" s="7">
        <v>3</v>
      </c>
      <c r="C78" s="10" t="s">
        <v>256</v>
      </c>
      <c r="D78" s="7">
        <v>19</v>
      </c>
      <c r="E78" s="7">
        <v>0</v>
      </c>
      <c r="F78" s="7">
        <v>30000</v>
      </c>
      <c r="G78" s="11" t="s">
        <v>259</v>
      </c>
      <c r="H78" s="7">
        <v>0</v>
      </c>
      <c r="I78" s="7">
        <v>2</v>
      </c>
      <c r="J78" s="41" t="e">
        <f>VLOOKUP(表5[[#This Row],[任务名称]],[2]!表1[#Data],2,FALSE)</f>
        <v>#REF!</v>
      </c>
    </row>
    <row r="79" spans="1:10" x14ac:dyDescent="0.15">
      <c r="A79" s="9">
        <v>4001</v>
      </c>
      <c r="B79" s="7">
        <v>4</v>
      </c>
      <c r="C79" s="10" t="s">
        <v>214</v>
      </c>
      <c r="D79" s="30">
        <v>28</v>
      </c>
      <c r="E79" s="30">
        <v>0</v>
      </c>
      <c r="F79" s="30">
        <v>5</v>
      </c>
      <c r="G79" s="11" t="s">
        <v>298</v>
      </c>
      <c r="H79" s="7">
        <v>1</v>
      </c>
      <c r="I79" s="7">
        <v>1</v>
      </c>
      <c r="J79" s="42" t="e">
        <f>VLOOKUP(表5[[#This Row],[任务名称]],[2]!表1[#Data],2,FALSE)</f>
        <v>#REF!</v>
      </c>
    </row>
    <row r="80" spans="1:10" x14ac:dyDescent="0.15">
      <c r="A80" s="9">
        <v>4002</v>
      </c>
      <c r="B80" s="7">
        <v>4</v>
      </c>
      <c r="C80" s="10" t="s">
        <v>215</v>
      </c>
      <c r="D80" s="30">
        <v>1</v>
      </c>
      <c r="E80" s="30">
        <v>21</v>
      </c>
      <c r="F80" s="30">
        <v>2</v>
      </c>
      <c r="G80" s="11" t="s">
        <v>299</v>
      </c>
      <c r="H80" s="7">
        <v>1</v>
      </c>
      <c r="I80" s="7">
        <v>1</v>
      </c>
      <c r="J80" s="42" t="e">
        <f>VLOOKUP(表5[[#This Row],[任务名称]],[2]!表1[#Data],2,FALSE)</f>
        <v>#REF!</v>
      </c>
    </row>
    <row r="81" spans="1:10" x14ac:dyDescent="0.15">
      <c r="A81" s="9">
        <v>4003</v>
      </c>
      <c r="B81" s="7">
        <v>4</v>
      </c>
      <c r="C81" s="10" t="s">
        <v>216</v>
      </c>
      <c r="D81" s="30">
        <v>1</v>
      </c>
      <c r="E81" s="30">
        <v>22</v>
      </c>
      <c r="F81" s="30">
        <v>2</v>
      </c>
      <c r="G81" s="11" t="s">
        <v>299</v>
      </c>
      <c r="H81" s="7">
        <v>1</v>
      </c>
      <c r="I81" s="7">
        <v>1</v>
      </c>
      <c r="J81" s="42" t="e">
        <f>VLOOKUP(表5[[#This Row],[任务名称]],[2]!表1[#Data],2,FALSE)</f>
        <v>#REF!</v>
      </c>
    </row>
    <row r="82" spans="1:10" x14ac:dyDescent="0.15">
      <c r="A82" s="9">
        <v>4004</v>
      </c>
      <c r="B82" s="7">
        <v>4</v>
      </c>
      <c r="C82" s="10" t="s">
        <v>217</v>
      </c>
      <c r="D82" s="30">
        <v>1</v>
      </c>
      <c r="E82" s="30">
        <v>49</v>
      </c>
      <c r="F82" s="30">
        <v>2</v>
      </c>
      <c r="G82" s="11" t="s">
        <v>299</v>
      </c>
      <c r="H82" s="7">
        <v>1</v>
      </c>
      <c r="I82" s="7">
        <v>1</v>
      </c>
      <c r="J82" s="42" t="e">
        <f>VLOOKUP(表5[[#This Row],[任务名称]],[2]!表1[#Data],2,FALSE)</f>
        <v>#REF!</v>
      </c>
    </row>
    <row r="83" spans="1:10" x14ac:dyDescent="0.15">
      <c r="A83" s="9">
        <v>4005</v>
      </c>
      <c r="B83" s="7">
        <v>4</v>
      </c>
      <c r="C83" s="10" t="s">
        <v>218</v>
      </c>
      <c r="D83" s="30">
        <v>1</v>
      </c>
      <c r="E83" s="30">
        <v>57</v>
      </c>
      <c r="F83" s="30">
        <v>2</v>
      </c>
      <c r="G83" s="11" t="s">
        <v>299</v>
      </c>
      <c r="H83" s="7">
        <v>1</v>
      </c>
      <c r="I83" s="7">
        <v>1</v>
      </c>
      <c r="J83" s="42" t="e">
        <f>VLOOKUP(表5[[#This Row],[任务名称]],[2]!表1[#Data],2,FALSE)</f>
        <v>#REF!</v>
      </c>
    </row>
    <row r="84" spans="1:10" x14ac:dyDescent="0.15">
      <c r="A84" s="9">
        <v>4006</v>
      </c>
      <c r="B84" s="7">
        <v>4</v>
      </c>
      <c r="C84" s="10" t="s">
        <v>219</v>
      </c>
      <c r="D84" s="7">
        <v>1</v>
      </c>
      <c r="E84" s="7">
        <v>52</v>
      </c>
      <c r="F84" s="7">
        <v>5</v>
      </c>
      <c r="G84" s="11" t="s">
        <v>299</v>
      </c>
      <c r="H84" s="7">
        <v>1</v>
      </c>
      <c r="I84" s="7">
        <v>1</v>
      </c>
      <c r="J84" s="42" t="e">
        <f>VLOOKUP(表5[[#This Row],[任务名称]],[2]!表1[#Data],2,FALSE)</f>
        <v>#REF!</v>
      </c>
    </row>
    <row r="85" spans="1:10" x14ac:dyDescent="0.15">
      <c r="A85" s="9">
        <v>4007</v>
      </c>
      <c r="B85" s="7">
        <v>4</v>
      </c>
      <c r="C85" s="10" t="s">
        <v>220</v>
      </c>
      <c r="D85" s="30">
        <v>2</v>
      </c>
      <c r="E85" s="30">
        <v>4</v>
      </c>
      <c r="F85" s="30">
        <v>10</v>
      </c>
      <c r="G85" s="11" t="s">
        <v>299</v>
      </c>
      <c r="H85" s="7">
        <v>1</v>
      </c>
      <c r="I85" s="7">
        <v>1</v>
      </c>
      <c r="J85" s="42" t="e">
        <f>VLOOKUP(表5[[#This Row],[任务名称]],[2]!表1[#Data],2,FALSE)</f>
        <v>#REF!</v>
      </c>
    </row>
    <row r="86" spans="1:10" x14ac:dyDescent="0.15">
      <c r="A86" s="9">
        <v>4008</v>
      </c>
      <c r="B86" s="7">
        <v>4</v>
      </c>
      <c r="C86" s="10" t="s">
        <v>221</v>
      </c>
      <c r="D86" s="30">
        <v>10</v>
      </c>
      <c r="E86" s="30">
        <v>0</v>
      </c>
      <c r="F86" s="30">
        <v>50</v>
      </c>
      <c r="G86" s="11" t="s">
        <v>299</v>
      </c>
      <c r="H86" s="7">
        <v>1</v>
      </c>
      <c r="I86" s="7">
        <v>1</v>
      </c>
      <c r="J86" s="42" t="e">
        <f>VLOOKUP(表5[[#This Row],[任务名称]],[2]!表1[#Data],2,FALSE)</f>
        <v>#REF!</v>
      </c>
    </row>
    <row r="87" spans="1:10" x14ac:dyDescent="0.15">
      <c r="A87" s="9">
        <v>4009</v>
      </c>
      <c r="B87" s="7">
        <v>4</v>
      </c>
      <c r="C87" s="10" t="s">
        <v>222</v>
      </c>
      <c r="D87" s="7">
        <v>11</v>
      </c>
      <c r="E87" s="7">
        <v>0</v>
      </c>
      <c r="F87" s="7">
        <v>50000</v>
      </c>
      <c r="G87" s="11" t="s">
        <v>299</v>
      </c>
      <c r="H87" s="7">
        <v>1</v>
      </c>
      <c r="I87" s="7">
        <v>1</v>
      </c>
      <c r="J87" s="42" t="e">
        <f>VLOOKUP(表5[[#This Row],[任务名称]],[2]!表1[#Data],2,FALSE)</f>
        <v>#REF!</v>
      </c>
    </row>
    <row r="88" spans="1:10" x14ac:dyDescent="0.15">
      <c r="A88" s="9">
        <v>4010</v>
      </c>
      <c r="B88" s="7">
        <v>4</v>
      </c>
      <c r="C88" s="10" t="s">
        <v>223</v>
      </c>
      <c r="D88" s="30">
        <v>20</v>
      </c>
      <c r="E88" s="30">
        <v>0</v>
      </c>
      <c r="F88" s="30">
        <v>10</v>
      </c>
      <c r="G88" s="11" t="s">
        <v>317</v>
      </c>
      <c r="H88" s="7">
        <v>0</v>
      </c>
      <c r="I88" s="7">
        <v>1</v>
      </c>
      <c r="J88" s="42" t="e">
        <f>VLOOKUP(表5[[#This Row],[任务名称]],[2]!表1[#Data],2,FALSE)</f>
        <v>#REF!</v>
      </c>
    </row>
    <row r="89" spans="1:10" x14ac:dyDescent="0.15">
      <c r="A89" s="9">
        <v>4011</v>
      </c>
      <c r="B89" s="7">
        <v>4</v>
      </c>
      <c r="C89" s="10" t="s">
        <v>224</v>
      </c>
      <c r="D89" s="7">
        <v>21</v>
      </c>
      <c r="E89" s="7">
        <v>0</v>
      </c>
      <c r="F89" s="7">
        <v>50</v>
      </c>
      <c r="G89" s="11" t="s">
        <v>318</v>
      </c>
      <c r="H89" s="7">
        <v>0</v>
      </c>
      <c r="I89" s="7">
        <v>1</v>
      </c>
      <c r="J89" s="42" t="e">
        <f>VLOOKUP(表5[[#This Row],[任务名称]],[2]!表1[#Data],2,FALSE)</f>
        <v>#REF!</v>
      </c>
    </row>
    <row r="90" spans="1:10" x14ac:dyDescent="0.15">
      <c r="A90" s="9">
        <v>4012</v>
      </c>
      <c r="B90" s="7">
        <v>4</v>
      </c>
      <c r="C90" s="10" t="s">
        <v>225</v>
      </c>
      <c r="D90" s="30">
        <v>18</v>
      </c>
      <c r="E90" s="30">
        <v>0</v>
      </c>
      <c r="F90" s="30">
        <v>20</v>
      </c>
      <c r="G90" s="11" t="s">
        <v>317</v>
      </c>
      <c r="H90" s="7">
        <v>0</v>
      </c>
      <c r="I90" s="7">
        <v>1</v>
      </c>
      <c r="J90" s="42" t="e">
        <f>VLOOKUP(表5[[#This Row],[任务名称]],[2]!表1[#Data],2,FALSE)</f>
        <v>#REF!</v>
      </c>
    </row>
    <row r="91" spans="1:10" x14ac:dyDescent="0.15">
      <c r="A91" s="9">
        <v>4013</v>
      </c>
      <c r="B91" s="7">
        <v>4</v>
      </c>
      <c r="C91" s="10" t="s">
        <v>226</v>
      </c>
      <c r="D91" s="7">
        <v>1</v>
      </c>
      <c r="E91" s="7">
        <v>0</v>
      </c>
      <c r="F91" s="7">
        <v>100000</v>
      </c>
      <c r="G91" s="11" t="s">
        <v>319</v>
      </c>
      <c r="H91" s="7">
        <v>0</v>
      </c>
      <c r="I91" s="7">
        <v>1</v>
      </c>
      <c r="J91" s="42" t="e">
        <f>VLOOKUP(表5[[#This Row],[任务名称]],[2]!表1[#Data],2,FALSE)</f>
        <v>#REF!</v>
      </c>
    </row>
    <row r="92" spans="1:10" x14ac:dyDescent="0.15">
      <c r="A92" s="9">
        <v>4014</v>
      </c>
      <c r="B92" s="7">
        <v>4</v>
      </c>
      <c r="C92" s="10" t="s">
        <v>227</v>
      </c>
      <c r="D92" s="7">
        <v>13</v>
      </c>
      <c r="E92" s="7">
        <v>0</v>
      </c>
      <c r="F92" s="7">
        <v>9</v>
      </c>
      <c r="G92" s="11" t="s">
        <v>319</v>
      </c>
      <c r="H92" s="7">
        <v>0</v>
      </c>
      <c r="I92" s="7">
        <v>1</v>
      </c>
      <c r="J92" s="42" t="e">
        <f>VLOOKUP(表5[[#This Row],[任务名称]],[2]!表1[#Data],2,FALSE)</f>
        <v>#REF!</v>
      </c>
    </row>
    <row r="93" spans="1:10" x14ac:dyDescent="0.15">
      <c r="A93" s="9">
        <v>4015</v>
      </c>
      <c r="B93" s="7">
        <v>4</v>
      </c>
      <c r="C93" s="10" t="s">
        <v>228</v>
      </c>
      <c r="D93" s="30">
        <v>2</v>
      </c>
      <c r="E93" s="30">
        <v>3</v>
      </c>
      <c r="F93" s="30">
        <v>100</v>
      </c>
      <c r="G93" s="11" t="s">
        <v>320</v>
      </c>
      <c r="H93" s="7">
        <v>0</v>
      </c>
      <c r="I93" s="7">
        <v>1</v>
      </c>
      <c r="J93" s="42" t="e">
        <f>VLOOKUP(表5[[#This Row],[任务名称]],[2]!表1[#Data],2,FALSE)</f>
        <v>#REF!</v>
      </c>
    </row>
    <row r="94" spans="1:10" x14ac:dyDescent="0.15">
      <c r="A94" s="9">
        <v>4100</v>
      </c>
      <c r="B94" s="7">
        <v>4</v>
      </c>
      <c r="C94" s="10" t="s">
        <v>229</v>
      </c>
      <c r="D94" s="7">
        <v>19</v>
      </c>
      <c r="E94" s="7">
        <v>1</v>
      </c>
      <c r="F94" s="7">
        <v>1</v>
      </c>
      <c r="G94" s="11" t="s">
        <v>300</v>
      </c>
      <c r="H94" s="7">
        <v>1</v>
      </c>
      <c r="I94" s="7">
        <v>2</v>
      </c>
      <c r="J94" s="42" t="e">
        <f>VLOOKUP(表5[[#This Row],[任务名称]],[2]!表1[#Data],2,FALSE)</f>
        <v>#REF!</v>
      </c>
    </row>
    <row r="95" spans="1:10" x14ac:dyDescent="0.15">
      <c r="A95" s="9">
        <v>4101</v>
      </c>
      <c r="B95" s="7">
        <v>4</v>
      </c>
      <c r="C95" s="10" t="s">
        <v>230</v>
      </c>
      <c r="D95" s="7">
        <v>19</v>
      </c>
      <c r="E95" s="7">
        <v>0</v>
      </c>
      <c r="F95" s="7">
        <v>100</v>
      </c>
      <c r="G95" s="11" t="s">
        <v>301</v>
      </c>
      <c r="H95" s="7">
        <v>0</v>
      </c>
      <c r="I95" s="7">
        <v>2</v>
      </c>
      <c r="J95" s="42" t="e">
        <f>VLOOKUP(表5[[#This Row],[任务名称]],[2]!表1[#Data],2,FALSE)</f>
        <v>#REF!</v>
      </c>
    </row>
    <row r="96" spans="1:10" x14ac:dyDescent="0.15">
      <c r="A96" s="9">
        <v>4102</v>
      </c>
      <c r="B96" s="7">
        <v>4</v>
      </c>
      <c r="C96" s="10" t="s">
        <v>231</v>
      </c>
      <c r="D96" s="7">
        <v>19</v>
      </c>
      <c r="E96" s="7">
        <v>0</v>
      </c>
      <c r="F96" s="7">
        <v>200</v>
      </c>
      <c r="G96" s="11" t="s">
        <v>302</v>
      </c>
      <c r="H96" s="7">
        <v>0</v>
      </c>
      <c r="I96" s="7">
        <v>2</v>
      </c>
      <c r="J96" s="42" t="e">
        <f>VLOOKUP(表5[[#This Row],[任务名称]],[2]!表1[#Data],2,FALSE)</f>
        <v>#REF!</v>
      </c>
    </row>
    <row r="97" spans="1:10" x14ac:dyDescent="0.15">
      <c r="A97" s="9">
        <v>4103</v>
      </c>
      <c r="B97" s="7">
        <v>4</v>
      </c>
      <c r="C97" s="10" t="s">
        <v>232</v>
      </c>
      <c r="D97" s="7">
        <v>19</v>
      </c>
      <c r="E97" s="7">
        <v>0</v>
      </c>
      <c r="F97" s="7">
        <v>400</v>
      </c>
      <c r="G97" s="11" t="s">
        <v>309</v>
      </c>
      <c r="H97" s="7">
        <v>0</v>
      </c>
      <c r="I97" s="7">
        <v>2</v>
      </c>
      <c r="J97" s="42" t="e">
        <f>VLOOKUP(表5[[#This Row],[任务名称]],[2]!表1[#Data],2,FALSE)</f>
        <v>#REF!</v>
      </c>
    </row>
    <row r="98" spans="1:10" x14ac:dyDescent="0.15">
      <c r="A98" s="9">
        <v>4104</v>
      </c>
      <c r="B98" s="7">
        <v>4</v>
      </c>
      <c r="C98" s="10" t="s">
        <v>233</v>
      </c>
      <c r="D98" s="7">
        <v>19</v>
      </c>
      <c r="E98" s="7">
        <v>0</v>
      </c>
      <c r="F98" s="7">
        <v>600</v>
      </c>
      <c r="G98" s="11" t="s">
        <v>310</v>
      </c>
      <c r="H98" s="7">
        <v>0</v>
      </c>
      <c r="I98" s="7">
        <v>2</v>
      </c>
      <c r="J98" s="42" t="e">
        <f>VLOOKUP(表5[[#This Row],[任务名称]],[2]!表1[#Data],2,FALSE)</f>
        <v>#REF!</v>
      </c>
    </row>
    <row r="99" spans="1:10" x14ac:dyDescent="0.15">
      <c r="A99" s="9">
        <v>4105</v>
      </c>
      <c r="B99" s="7">
        <v>4</v>
      </c>
      <c r="C99" s="10" t="s">
        <v>234</v>
      </c>
      <c r="D99" s="7">
        <v>19</v>
      </c>
      <c r="E99" s="7">
        <v>0</v>
      </c>
      <c r="F99" s="7">
        <v>1000</v>
      </c>
      <c r="G99" s="11" t="s">
        <v>311</v>
      </c>
      <c r="H99" s="7">
        <v>0</v>
      </c>
      <c r="I99" s="7">
        <v>2</v>
      </c>
      <c r="J99" s="42" t="e">
        <f>VLOOKUP(表5[[#This Row],[任务名称]],[2]!表1[#Data],2,FALSE)</f>
        <v>#REF!</v>
      </c>
    </row>
    <row r="100" spans="1:10" x14ac:dyDescent="0.15">
      <c r="A100" s="9">
        <v>4106</v>
      </c>
      <c r="B100" s="7">
        <v>4</v>
      </c>
      <c r="C100" s="10" t="s">
        <v>235</v>
      </c>
      <c r="D100" s="7">
        <v>19</v>
      </c>
      <c r="E100" s="7">
        <v>0</v>
      </c>
      <c r="F100" s="7">
        <v>2000</v>
      </c>
      <c r="G100" s="11" t="s">
        <v>312</v>
      </c>
      <c r="H100" s="7">
        <v>0</v>
      </c>
      <c r="I100" s="7">
        <v>2</v>
      </c>
      <c r="J100" s="42" t="e">
        <f>VLOOKUP(表5[[#This Row],[任务名称]],[2]!表1[#Data],2,FALSE)</f>
        <v>#REF!</v>
      </c>
    </row>
    <row r="101" spans="1:10" x14ac:dyDescent="0.15">
      <c r="A101" s="9">
        <v>4107</v>
      </c>
      <c r="B101" s="7">
        <v>4</v>
      </c>
      <c r="C101" s="10" t="s">
        <v>236</v>
      </c>
      <c r="D101" s="7">
        <v>19</v>
      </c>
      <c r="E101" s="7">
        <v>0</v>
      </c>
      <c r="F101" s="7">
        <v>3000</v>
      </c>
      <c r="G101" s="11" t="s">
        <v>313</v>
      </c>
      <c r="H101" s="7">
        <v>0</v>
      </c>
      <c r="I101" s="7">
        <v>2</v>
      </c>
      <c r="J101" s="42" t="e">
        <f>VLOOKUP(表5[[#This Row],[任务名称]],[2]!表1[#Data],2,FALSE)</f>
        <v>#REF!</v>
      </c>
    </row>
    <row r="102" spans="1:10" x14ac:dyDescent="0.15">
      <c r="A102" s="9">
        <v>4108</v>
      </c>
      <c r="B102" s="7">
        <v>4</v>
      </c>
      <c r="C102" s="10" t="s">
        <v>237</v>
      </c>
      <c r="D102" s="7">
        <v>19</v>
      </c>
      <c r="E102" s="7">
        <v>0</v>
      </c>
      <c r="F102" s="7">
        <v>5000</v>
      </c>
      <c r="G102" s="11" t="s">
        <v>314</v>
      </c>
      <c r="H102" s="7">
        <v>0</v>
      </c>
      <c r="I102" s="7">
        <v>2</v>
      </c>
      <c r="J102" s="42" t="e">
        <f>VLOOKUP(表5[[#This Row],[任务名称]],[2]!表1[#Data],2,FALSE)</f>
        <v>#REF!</v>
      </c>
    </row>
    <row r="103" spans="1:10" x14ac:dyDescent="0.15">
      <c r="A103" s="9">
        <v>4109</v>
      </c>
      <c r="B103" s="7">
        <v>4</v>
      </c>
      <c r="C103" s="10" t="s">
        <v>238</v>
      </c>
      <c r="D103" s="7">
        <v>19</v>
      </c>
      <c r="E103" s="7">
        <v>0</v>
      </c>
      <c r="F103" s="7">
        <v>10000</v>
      </c>
      <c r="G103" s="11" t="s">
        <v>315</v>
      </c>
      <c r="H103" s="7">
        <v>0</v>
      </c>
      <c r="I103" s="7">
        <v>2</v>
      </c>
      <c r="J103" s="42" t="e">
        <f>VLOOKUP(表5[[#This Row],[任务名称]],[2]!表1[#Data],2,FALSE)</f>
        <v>#REF!</v>
      </c>
    </row>
    <row r="104" spans="1:10" x14ac:dyDescent="0.15">
      <c r="A104" s="9">
        <v>4110</v>
      </c>
      <c r="B104" s="7">
        <v>4</v>
      </c>
      <c r="C104" s="10" t="s">
        <v>254</v>
      </c>
      <c r="D104" s="7">
        <v>19</v>
      </c>
      <c r="E104" s="7">
        <v>0</v>
      </c>
      <c r="F104" s="7">
        <v>20000</v>
      </c>
      <c r="G104" s="11" t="s">
        <v>316</v>
      </c>
      <c r="H104" s="7">
        <v>0</v>
      </c>
      <c r="I104" s="7">
        <v>2</v>
      </c>
      <c r="J104" s="43" t="e">
        <f>VLOOKUP(表5[[#This Row],[任务名称]],[2]!表1[#Data],2,FALSE)</f>
        <v>#REF!</v>
      </c>
    </row>
  </sheetData>
  <phoneticPr fontId="9" type="noConversion"/>
  <conditionalFormatting sqref="A6">
    <cfRule type="duplicateValues" dxfId="62" priority="114"/>
    <cfRule type="duplicateValues" dxfId="61" priority="115"/>
  </conditionalFormatting>
  <conditionalFormatting sqref="A7">
    <cfRule type="duplicateValues" dxfId="60" priority="112"/>
    <cfRule type="duplicateValues" dxfId="59" priority="113"/>
  </conditionalFormatting>
  <conditionalFormatting sqref="A8">
    <cfRule type="duplicateValues" dxfId="58" priority="110"/>
    <cfRule type="duplicateValues" dxfId="57" priority="111"/>
  </conditionalFormatting>
  <conditionalFormatting sqref="A9">
    <cfRule type="duplicateValues" dxfId="56" priority="108"/>
    <cfRule type="duplicateValues" dxfId="55" priority="109"/>
  </conditionalFormatting>
  <conditionalFormatting sqref="A10">
    <cfRule type="duplicateValues" dxfId="54" priority="106"/>
    <cfRule type="duplicateValues" dxfId="53" priority="107"/>
  </conditionalFormatting>
  <conditionalFormatting sqref="A11">
    <cfRule type="duplicateValues" dxfId="52" priority="104"/>
    <cfRule type="duplicateValues" dxfId="51" priority="105"/>
  </conditionalFormatting>
  <conditionalFormatting sqref="A37">
    <cfRule type="duplicateValues" dxfId="50" priority="94"/>
    <cfRule type="duplicateValues" dxfId="49" priority="95"/>
  </conditionalFormatting>
  <conditionalFormatting sqref="A38">
    <cfRule type="duplicateValues" dxfId="48" priority="82"/>
    <cfRule type="duplicateValues" dxfId="47" priority="83"/>
  </conditionalFormatting>
  <conditionalFormatting sqref="A4:A40">
    <cfRule type="duplicateValues" dxfId="46" priority="117"/>
  </conditionalFormatting>
  <conditionalFormatting sqref="A5 A17 A19:A25 A7 A9 A11 A13 A15">
    <cfRule type="duplicateValues" dxfId="45" priority="116"/>
  </conditionalFormatting>
  <conditionalFormatting sqref="A12 A14 A18 A20 A22 A24 A16">
    <cfRule type="duplicateValues" dxfId="44" priority="102"/>
    <cfRule type="duplicateValues" dxfId="43" priority="103"/>
  </conditionalFormatting>
  <conditionalFormatting sqref="A13 A15 A17 A19:A25">
    <cfRule type="duplicateValues" dxfId="42" priority="100"/>
    <cfRule type="duplicateValues" dxfId="41" priority="101"/>
  </conditionalFormatting>
  <conditionalFormatting sqref="A42 A44 A46 A48 A50">
    <cfRule type="duplicateValues" dxfId="40" priority="59"/>
    <cfRule type="duplicateValues" dxfId="39" priority="60"/>
  </conditionalFormatting>
  <conditionalFormatting sqref="A41 A43 A45 A47 A49">
    <cfRule type="duplicateValues" dxfId="38" priority="57"/>
    <cfRule type="duplicateValues" dxfId="37" priority="58"/>
    <cfRule type="duplicateValues" dxfId="36" priority="61"/>
  </conditionalFormatting>
  <conditionalFormatting sqref="A41:A50">
    <cfRule type="duplicateValues" dxfId="35" priority="118"/>
  </conditionalFormatting>
  <conditionalFormatting sqref="A36">
    <cfRule type="duplicateValues" dxfId="34" priority="174"/>
    <cfRule type="duplicateValues" dxfId="33" priority="175"/>
  </conditionalFormatting>
  <conditionalFormatting sqref="A35 A37:A38 A40">
    <cfRule type="duplicateValues" dxfId="32" priority="177"/>
  </conditionalFormatting>
  <conditionalFormatting sqref="A26:A40">
    <cfRule type="duplicateValues" dxfId="31" priority="219"/>
  </conditionalFormatting>
  <conditionalFormatting sqref="A62">
    <cfRule type="duplicateValues" dxfId="30" priority="38"/>
    <cfRule type="duplicateValues" dxfId="29" priority="39"/>
  </conditionalFormatting>
  <conditionalFormatting sqref="A63">
    <cfRule type="duplicateValues" dxfId="28" priority="36"/>
    <cfRule type="duplicateValues" dxfId="27" priority="37"/>
  </conditionalFormatting>
  <conditionalFormatting sqref="A51:A65">
    <cfRule type="duplicateValues" dxfId="26" priority="40"/>
  </conditionalFormatting>
  <conditionalFormatting sqref="A67 A69 A71 A73 A76">
    <cfRule type="duplicateValues" dxfId="25" priority="33"/>
    <cfRule type="duplicateValues" dxfId="24" priority="34"/>
  </conditionalFormatting>
  <conditionalFormatting sqref="A66 A68 A70 A72 A74:A75 A77:A78">
    <cfRule type="duplicateValues" dxfId="23" priority="31"/>
    <cfRule type="duplicateValues" dxfId="22" priority="32"/>
    <cfRule type="duplicateValues" dxfId="21" priority="35"/>
  </conditionalFormatting>
  <conditionalFormatting sqref="A66:A78">
    <cfRule type="duplicateValues" dxfId="20" priority="41"/>
  </conditionalFormatting>
  <conditionalFormatting sqref="A61">
    <cfRule type="duplicateValues" dxfId="19" priority="42"/>
    <cfRule type="duplicateValues" dxfId="18" priority="43"/>
  </conditionalFormatting>
  <conditionalFormatting sqref="A60 A62:A63 A65">
    <cfRule type="duplicateValues" dxfId="17" priority="44"/>
  </conditionalFormatting>
  <conditionalFormatting sqref="A51:A65">
    <cfRule type="duplicateValues" dxfId="16" priority="45"/>
  </conditionalFormatting>
  <conditionalFormatting sqref="A90">
    <cfRule type="duplicateValues" dxfId="15" priority="14"/>
    <cfRule type="duplicateValues" dxfId="14" priority="15"/>
  </conditionalFormatting>
  <conditionalFormatting sqref="A91">
    <cfRule type="duplicateValues" dxfId="13" priority="12"/>
    <cfRule type="duplicateValues" dxfId="12" priority="13"/>
  </conditionalFormatting>
  <conditionalFormatting sqref="A79:A93">
    <cfRule type="duplicateValues" dxfId="11" priority="16"/>
  </conditionalFormatting>
  <conditionalFormatting sqref="A89">
    <cfRule type="duplicateValues" dxfId="10" priority="18"/>
    <cfRule type="duplicateValues" dxfId="9" priority="19"/>
  </conditionalFormatting>
  <conditionalFormatting sqref="A88 A90:A91 A93">
    <cfRule type="duplicateValues" dxfId="8" priority="20"/>
  </conditionalFormatting>
  <conditionalFormatting sqref="A79:A93">
    <cfRule type="duplicateValues" dxfId="7" priority="21"/>
  </conditionalFormatting>
  <conditionalFormatting sqref="A95 A97 A99 A101 A103:A104">
    <cfRule type="duplicateValues" dxfId="6" priority="220"/>
    <cfRule type="duplicateValues" dxfId="5" priority="221"/>
  </conditionalFormatting>
  <conditionalFormatting sqref="A94 A96 A98 A100 A102:A103">
    <cfRule type="duplicateValues" dxfId="4" priority="230"/>
    <cfRule type="duplicateValues" dxfId="3" priority="231"/>
    <cfRule type="duplicateValues" dxfId="2" priority="232"/>
  </conditionalFormatting>
  <conditionalFormatting sqref="A94:A104">
    <cfRule type="duplicateValues" dxfId="1" priority="245"/>
  </conditionalFormatting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9"/>
  <sheetViews>
    <sheetView topLeftCell="A22" workbookViewId="0">
      <selection activeCell="D57" sqref="D57"/>
    </sheetView>
  </sheetViews>
  <sheetFormatPr defaultColWidth="9" defaultRowHeight="13.5" x14ac:dyDescent="0.15"/>
  <cols>
    <col min="1" max="1" width="10" customWidth="1"/>
    <col min="2" max="2" width="11.75" customWidth="1"/>
    <col min="3" max="3" width="21.625" customWidth="1"/>
    <col min="4" max="4" width="50" customWidth="1"/>
    <col min="5" max="5" width="11.75" customWidth="1"/>
    <col min="6" max="6" width="16.125" customWidth="1"/>
  </cols>
  <sheetData>
    <row r="1" spans="1:6" ht="16.5" x14ac:dyDescent="0.3">
      <c r="A1" s="1" t="s">
        <v>12</v>
      </c>
      <c r="B1" s="1" t="s">
        <v>48</v>
      </c>
      <c r="C1" s="1" t="s">
        <v>63</v>
      </c>
      <c r="D1" s="1" t="s">
        <v>64</v>
      </c>
      <c r="E1" s="1" t="s">
        <v>65</v>
      </c>
      <c r="F1" s="1" t="s">
        <v>15</v>
      </c>
    </row>
    <row r="2" spans="1:6" ht="16.5" x14ac:dyDescent="0.15">
      <c r="A2" s="2" t="s">
        <v>17</v>
      </c>
      <c r="B2" s="3" t="s">
        <v>17</v>
      </c>
      <c r="C2" s="2" t="s">
        <v>19</v>
      </c>
      <c r="D2" s="2" t="s">
        <v>19</v>
      </c>
      <c r="E2" s="2" t="s">
        <v>17</v>
      </c>
      <c r="F2" s="3" t="s">
        <v>17</v>
      </c>
    </row>
    <row r="3" spans="1:6" x14ac:dyDescent="0.15">
      <c r="A3" s="4" t="s">
        <v>66</v>
      </c>
      <c r="B3" s="5" t="s">
        <v>67</v>
      </c>
      <c r="C3" s="4" t="s">
        <v>68</v>
      </c>
      <c r="D3" s="4" t="s">
        <v>69</v>
      </c>
      <c r="E3" s="4" t="s">
        <v>70</v>
      </c>
      <c r="F3" s="5" t="s">
        <v>61</v>
      </c>
    </row>
    <row r="4" spans="1:6" x14ac:dyDescent="0.15">
      <c r="A4" s="6">
        <v>101</v>
      </c>
      <c r="B4" s="7">
        <v>1</v>
      </c>
      <c r="C4" s="4" t="s">
        <v>71</v>
      </c>
      <c r="D4" s="8" t="s">
        <v>151</v>
      </c>
      <c r="E4" s="8">
        <v>99</v>
      </c>
      <c r="F4" s="4">
        <v>0</v>
      </c>
    </row>
    <row r="5" spans="1:6" x14ac:dyDescent="0.15">
      <c r="A5" s="6">
        <v>102</v>
      </c>
      <c r="B5" s="7">
        <v>1</v>
      </c>
      <c r="C5" s="4" t="s">
        <v>72</v>
      </c>
      <c r="D5" s="8" t="s">
        <v>152</v>
      </c>
      <c r="E5" s="8">
        <v>99</v>
      </c>
      <c r="F5" s="4">
        <v>0</v>
      </c>
    </row>
    <row r="6" spans="1:6" x14ac:dyDescent="0.15">
      <c r="A6" s="6">
        <v>103</v>
      </c>
      <c r="B6" s="7">
        <v>1</v>
      </c>
      <c r="C6" s="4" t="s">
        <v>73</v>
      </c>
      <c r="D6" s="8" t="s">
        <v>158</v>
      </c>
      <c r="E6" s="8">
        <v>99</v>
      </c>
      <c r="F6" s="4">
        <v>0</v>
      </c>
    </row>
    <row r="7" spans="1:6" x14ac:dyDescent="0.15">
      <c r="A7" s="6">
        <v>104</v>
      </c>
      <c r="B7" s="7">
        <v>1</v>
      </c>
      <c r="C7" s="29" t="s">
        <v>81</v>
      </c>
      <c r="D7" s="8" t="s">
        <v>159</v>
      </c>
      <c r="E7" s="8">
        <v>1</v>
      </c>
      <c r="F7" s="4">
        <v>1</v>
      </c>
    </row>
    <row r="8" spans="1:6" x14ac:dyDescent="0.15">
      <c r="A8" s="6">
        <v>105</v>
      </c>
      <c r="B8" s="7">
        <v>1</v>
      </c>
      <c r="C8" s="29" t="s">
        <v>125</v>
      </c>
      <c r="D8" s="8" t="s">
        <v>126</v>
      </c>
      <c r="E8" s="8">
        <v>1</v>
      </c>
      <c r="F8" s="4">
        <v>0</v>
      </c>
    </row>
    <row r="9" spans="1:6" x14ac:dyDescent="0.15">
      <c r="A9" s="6">
        <v>106</v>
      </c>
      <c r="B9" s="7">
        <v>1</v>
      </c>
      <c r="C9" s="29" t="s">
        <v>104</v>
      </c>
      <c r="D9" s="8" t="s">
        <v>105</v>
      </c>
      <c r="E9" s="8">
        <v>1</v>
      </c>
      <c r="F9" s="4">
        <v>0</v>
      </c>
    </row>
    <row r="10" spans="1:6" x14ac:dyDescent="0.15">
      <c r="A10" s="6">
        <v>107</v>
      </c>
      <c r="B10" s="7">
        <v>1</v>
      </c>
      <c r="C10" s="29" t="s">
        <v>123</v>
      </c>
      <c r="D10" s="8" t="s">
        <v>105</v>
      </c>
      <c r="E10" s="8">
        <v>1</v>
      </c>
      <c r="F10" s="4">
        <v>0</v>
      </c>
    </row>
    <row r="11" spans="1:6" x14ac:dyDescent="0.15">
      <c r="A11" s="6">
        <v>108</v>
      </c>
      <c r="B11" s="7">
        <v>1</v>
      </c>
      <c r="C11" s="29" t="s">
        <v>124</v>
      </c>
      <c r="D11" s="8" t="s">
        <v>105</v>
      </c>
      <c r="E11" s="8">
        <v>1</v>
      </c>
      <c r="F11" s="4">
        <v>0</v>
      </c>
    </row>
    <row r="12" spans="1:6" x14ac:dyDescent="0.15">
      <c r="A12" s="6">
        <v>109</v>
      </c>
      <c r="B12" s="7">
        <v>1</v>
      </c>
      <c r="C12" s="29" t="s">
        <v>127</v>
      </c>
      <c r="D12" s="8" t="s">
        <v>130</v>
      </c>
      <c r="E12" s="8">
        <v>1</v>
      </c>
      <c r="F12" s="4">
        <v>0</v>
      </c>
    </row>
    <row r="13" spans="1:6" x14ac:dyDescent="0.15">
      <c r="A13" s="6">
        <v>110</v>
      </c>
      <c r="B13" s="7">
        <v>1</v>
      </c>
      <c r="C13" s="29" t="s">
        <v>128</v>
      </c>
      <c r="D13" s="8" t="s">
        <v>130</v>
      </c>
      <c r="E13" s="8">
        <v>1</v>
      </c>
      <c r="F13" s="4">
        <v>0</v>
      </c>
    </row>
    <row r="14" spans="1:6" x14ac:dyDescent="0.15">
      <c r="A14" s="6">
        <v>111</v>
      </c>
      <c r="B14" s="7">
        <v>1</v>
      </c>
      <c r="C14" s="29" t="s">
        <v>129</v>
      </c>
      <c r="D14" s="8" t="s">
        <v>130</v>
      </c>
      <c r="E14" s="8">
        <v>1</v>
      </c>
      <c r="F14" s="4">
        <v>0</v>
      </c>
    </row>
    <row r="15" spans="1:6" x14ac:dyDescent="0.15">
      <c r="A15" s="6">
        <v>112</v>
      </c>
      <c r="B15" s="7">
        <v>1</v>
      </c>
      <c r="C15" s="29" t="s">
        <v>131</v>
      </c>
      <c r="D15" s="8" t="s">
        <v>136</v>
      </c>
      <c r="E15" s="8">
        <v>20</v>
      </c>
      <c r="F15" s="4">
        <v>1</v>
      </c>
    </row>
    <row r="16" spans="1:6" x14ac:dyDescent="0.15">
      <c r="A16" s="6">
        <v>113</v>
      </c>
      <c r="B16" s="7">
        <v>1</v>
      </c>
      <c r="C16" s="29" t="s">
        <v>132</v>
      </c>
      <c r="D16" s="8" t="s">
        <v>136</v>
      </c>
      <c r="E16" s="8">
        <v>20</v>
      </c>
      <c r="F16" s="4">
        <v>1</v>
      </c>
    </row>
    <row r="17" spans="1:6" x14ac:dyDescent="0.15">
      <c r="A17" s="6">
        <v>114</v>
      </c>
      <c r="B17" s="7">
        <v>1</v>
      </c>
      <c r="C17" s="29" t="s">
        <v>133</v>
      </c>
      <c r="D17" s="8" t="s">
        <v>136</v>
      </c>
      <c r="E17" s="8">
        <v>20</v>
      </c>
      <c r="F17" s="4">
        <v>1</v>
      </c>
    </row>
    <row r="18" spans="1:6" x14ac:dyDescent="0.15">
      <c r="A18" s="6">
        <v>115</v>
      </c>
      <c r="B18" s="7">
        <v>1</v>
      </c>
      <c r="C18" s="29" t="s">
        <v>134</v>
      </c>
      <c r="D18" s="8" t="s">
        <v>136</v>
      </c>
      <c r="E18" s="8">
        <v>20</v>
      </c>
      <c r="F18" s="4">
        <v>1</v>
      </c>
    </row>
    <row r="19" spans="1:6" x14ac:dyDescent="0.15">
      <c r="A19" s="6">
        <v>116</v>
      </c>
      <c r="B19" s="7">
        <v>1</v>
      </c>
      <c r="C19" s="29" t="s">
        <v>135</v>
      </c>
      <c r="D19" s="8" t="s">
        <v>136</v>
      </c>
      <c r="E19" s="8">
        <v>20</v>
      </c>
      <c r="F19" s="4">
        <v>1</v>
      </c>
    </row>
    <row r="20" spans="1:6" x14ac:dyDescent="0.15">
      <c r="A20" s="6">
        <v>201</v>
      </c>
      <c r="B20" s="7">
        <v>2</v>
      </c>
      <c r="C20" s="29" t="s">
        <v>164</v>
      </c>
      <c r="D20" s="8" t="s">
        <v>165</v>
      </c>
      <c r="E20" s="8">
        <v>100</v>
      </c>
      <c r="F20" s="4">
        <v>1</v>
      </c>
    </row>
    <row r="21" spans="1:6" x14ac:dyDescent="0.15">
      <c r="A21" s="6">
        <v>202</v>
      </c>
      <c r="B21" s="7">
        <v>2</v>
      </c>
      <c r="C21" s="4" t="s">
        <v>71</v>
      </c>
      <c r="D21" s="8" t="s">
        <v>182</v>
      </c>
      <c r="E21" s="8">
        <v>10</v>
      </c>
      <c r="F21" s="4">
        <v>1</v>
      </c>
    </row>
    <row r="22" spans="1:6" x14ac:dyDescent="0.15">
      <c r="A22" s="6">
        <v>203</v>
      </c>
      <c r="B22" s="7">
        <v>2</v>
      </c>
      <c r="C22" s="4" t="s">
        <v>71</v>
      </c>
      <c r="D22" s="8" t="s">
        <v>183</v>
      </c>
      <c r="E22" s="8">
        <v>10</v>
      </c>
      <c r="F22" s="4">
        <v>1</v>
      </c>
    </row>
    <row r="23" spans="1:6" x14ac:dyDescent="0.15">
      <c r="A23" s="6">
        <v>204</v>
      </c>
      <c r="B23" s="7">
        <v>2</v>
      </c>
      <c r="C23" s="4" t="s">
        <v>71</v>
      </c>
      <c r="D23" s="8" t="s">
        <v>184</v>
      </c>
      <c r="E23" s="8">
        <v>10</v>
      </c>
      <c r="F23" s="4">
        <v>1</v>
      </c>
    </row>
    <row r="24" spans="1:6" x14ac:dyDescent="0.15">
      <c r="A24" s="6">
        <v>205</v>
      </c>
      <c r="B24" s="7">
        <v>2</v>
      </c>
      <c r="C24" s="29" t="s">
        <v>185</v>
      </c>
      <c r="D24" s="8" t="s">
        <v>186</v>
      </c>
      <c r="E24" s="8">
        <v>10</v>
      </c>
      <c r="F24" s="4">
        <v>1</v>
      </c>
    </row>
    <row r="25" spans="1:6" x14ac:dyDescent="0.15">
      <c r="A25" s="6">
        <v>206</v>
      </c>
      <c r="B25" s="7">
        <v>2</v>
      </c>
      <c r="C25" s="29" t="s">
        <v>189</v>
      </c>
      <c r="D25" s="8" t="s">
        <v>187</v>
      </c>
      <c r="E25" s="8">
        <v>10</v>
      </c>
      <c r="F25" s="4">
        <v>1</v>
      </c>
    </row>
    <row r="26" spans="1:6" x14ac:dyDescent="0.15">
      <c r="A26" s="6">
        <v>207</v>
      </c>
      <c r="B26" s="7">
        <v>2</v>
      </c>
      <c r="C26" s="29" t="s">
        <v>190</v>
      </c>
      <c r="D26" s="8" t="s">
        <v>188</v>
      </c>
      <c r="E26" s="8">
        <v>10</v>
      </c>
      <c r="F26" s="4">
        <v>1</v>
      </c>
    </row>
    <row r="27" spans="1:6" x14ac:dyDescent="0.15">
      <c r="A27" s="6">
        <v>208</v>
      </c>
      <c r="B27" s="7">
        <v>2</v>
      </c>
      <c r="C27" s="29" t="s">
        <v>191</v>
      </c>
      <c r="D27" s="8" t="s">
        <v>186</v>
      </c>
      <c r="E27" s="8">
        <v>10</v>
      </c>
      <c r="F27" s="4">
        <v>1</v>
      </c>
    </row>
    <row r="28" spans="1:6" x14ac:dyDescent="0.15">
      <c r="A28" s="6">
        <v>209</v>
      </c>
      <c r="B28" s="7">
        <v>2</v>
      </c>
      <c r="C28" s="29" t="s">
        <v>193</v>
      </c>
      <c r="D28" s="8" t="s">
        <v>187</v>
      </c>
      <c r="E28" s="8">
        <v>10</v>
      </c>
      <c r="F28" s="4">
        <v>1</v>
      </c>
    </row>
    <row r="29" spans="1:6" x14ac:dyDescent="0.15">
      <c r="A29" s="6">
        <v>210</v>
      </c>
      <c r="B29" s="7">
        <v>2</v>
      </c>
      <c r="C29" s="29" t="s">
        <v>192</v>
      </c>
      <c r="D29" s="8" t="s">
        <v>188</v>
      </c>
      <c r="E29" s="8">
        <v>10</v>
      </c>
      <c r="F29" s="4">
        <v>1</v>
      </c>
    </row>
    <row r="30" spans="1:6" x14ac:dyDescent="0.15">
      <c r="A30" s="6">
        <v>211</v>
      </c>
      <c r="B30" s="7">
        <v>2</v>
      </c>
      <c r="C30" s="29" t="s">
        <v>194</v>
      </c>
      <c r="D30" s="8" t="s">
        <v>195</v>
      </c>
      <c r="E30" s="8">
        <v>50</v>
      </c>
      <c r="F30" s="4">
        <v>1</v>
      </c>
    </row>
    <row r="31" spans="1:6" x14ac:dyDescent="0.15">
      <c r="A31" s="6">
        <v>212</v>
      </c>
      <c r="B31" s="7">
        <v>2</v>
      </c>
      <c r="C31" s="29" t="s">
        <v>194</v>
      </c>
      <c r="D31" s="8" t="s">
        <v>196</v>
      </c>
      <c r="E31" s="8">
        <v>50</v>
      </c>
      <c r="F31" s="4">
        <v>1</v>
      </c>
    </row>
    <row r="32" spans="1:6" x14ac:dyDescent="0.15">
      <c r="A32" s="6">
        <v>213</v>
      </c>
      <c r="B32" s="7">
        <v>2</v>
      </c>
      <c r="C32" s="29" t="s">
        <v>194</v>
      </c>
      <c r="D32" s="8" t="s">
        <v>197</v>
      </c>
      <c r="E32" s="8">
        <v>50</v>
      </c>
      <c r="F32" s="4">
        <v>1</v>
      </c>
    </row>
    <row r="33" spans="1:6" x14ac:dyDescent="0.15">
      <c r="A33" s="6">
        <v>214</v>
      </c>
      <c r="B33" s="7">
        <v>2</v>
      </c>
      <c r="C33" s="29" t="s">
        <v>194</v>
      </c>
      <c r="D33" s="8" t="s">
        <v>198</v>
      </c>
      <c r="E33" s="8">
        <v>100</v>
      </c>
      <c r="F33" s="4">
        <v>1</v>
      </c>
    </row>
    <row r="34" spans="1:6" x14ac:dyDescent="0.15">
      <c r="A34" s="6">
        <v>215</v>
      </c>
      <c r="B34" s="7">
        <v>2</v>
      </c>
      <c r="C34" s="29" t="s">
        <v>194</v>
      </c>
      <c r="D34" s="8" t="s">
        <v>199</v>
      </c>
      <c r="E34" s="8">
        <v>10</v>
      </c>
      <c r="F34" s="4">
        <v>1</v>
      </c>
    </row>
    <row r="35" spans="1:6" x14ac:dyDescent="0.15">
      <c r="A35" s="6">
        <v>216</v>
      </c>
      <c r="B35" s="7">
        <v>2</v>
      </c>
      <c r="C35" s="8" t="s">
        <v>202</v>
      </c>
      <c r="D35" s="8" t="s">
        <v>200</v>
      </c>
      <c r="E35" s="8">
        <v>10</v>
      </c>
      <c r="F35" s="4">
        <v>1</v>
      </c>
    </row>
    <row r="36" spans="1:6" x14ac:dyDescent="0.15">
      <c r="A36" s="6">
        <v>301</v>
      </c>
      <c r="B36" s="7">
        <v>3</v>
      </c>
      <c r="C36" s="29" t="s">
        <v>265</v>
      </c>
      <c r="D36" s="8" t="s">
        <v>275</v>
      </c>
      <c r="E36" s="8">
        <v>999</v>
      </c>
      <c r="F36" s="4">
        <v>1</v>
      </c>
    </row>
    <row r="37" spans="1:6" x14ac:dyDescent="0.15">
      <c r="A37" s="6">
        <v>302</v>
      </c>
      <c r="B37" s="7">
        <v>3</v>
      </c>
      <c r="C37" s="29" t="s">
        <v>266</v>
      </c>
      <c r="D37" s="8" t="s">
        <v>293</v>
      </c>
      <c r="E37" s="8">
        <v>999</v>
      </c>
      <c r="F37" s="4">
        <v>1</v>
      </c>
    </row>
    <row r="38" spans="1:6" x14ac:dyDescent="0.15">
      <c r="A38" s="6">
        <v>303</v>
      </c>
      <c r="B38" s="7">
        <v>3</v>
      </c>
      <c r="C38" s="29" t="s">
        <v>267</v>
      </c>
      <c r="D38" s="8" t="s">
        <v>276</v>
      </c>
      <c r="E38" s="8">
        <v>999</v>
      </c>
      <c r="F38" s="4">
        <v>1</v>
      </c>
    </row>
    <row r="39" spans="1:6" x14ac:dyDescent="0.15">
      <c r="A39" s="6">
        <v>304</v>
      </c>
      <c r="B39" s="7">
        <v>3</v>
      </c>
      <c r="C39" s="29" t="s">
        <v>268</v>
      </c>
      <c r="D39" s="8" t="s">
        <v>277</v>
      </c>
      <c r="E39" s="8">
        <v>999</v>
      </c>
      <c r="F39" s="4">
        <v>1</v>
      </c>
    </row>
    <row r="40" spans="1:6" x14ac:dyDescent="0.15">
      <c r="A40" s="6">
        <v>305</v>
      </c>
      <c r="B40" s="7">
        <v>3</v>
      </c>
      <c r="C40" s="29" t="s">
        <v>261</v>
      </c>
      <c r="D40" s="8" t="s">
        <v>264</v>
      </c>
      <c r="E40" s="8">
        <v>10</v>
      </c>
      <c r="F40" s="4">
        <v>1</v>
      </c>
    </row>
    <row r="41" spans="1:6" x14ac:dyDescent="0.15">
      <c r="A41" s="6">
        <v>306</v>
      </c>
      <c r="B41" s="7">
        <v>3</v>
      </c>
      <c r="C41" s="8" t="s">
        <v>262</v>
      </c>
      <c r="D41" s="8" t="s">
        <v>278</v>
      </c>
      <c r="E41" s="8">
        <v>10</v>
      </c>
      <c r="F41" s="4">
        <v>1</v>
      </c>
    </row>
    <row r="42" spans="1:6" x14ac:dyDescent="0.15">
      <c r="A42" s="6">
        <v>307</v>
      </c>
      <c r="B42" s="7">
        <v>3</v>
      </c>
      <c r="C42" s="29" t="s">
        <v>279</v>
      </c>
      <c r="D42" s="8" t="s">
        <v>270</v>
      </c>
      <c r="E42" s="8">
        <v>10</v>
      </c>
      <c r="F42" s="4">
        <v>1</v>
      </c>
    </row>
    <row r="43" spans="1:6" x14ac:dyDescent="0.15">
      <c r="A43" s="6">
        <v>308</v>
      </c>
      <c r="B43" s="7">
        <v>3</v>
      </c>
      <c r="C43" s="29" t="s">
        <v>260</v>
      </c>
      <c r="D43" s="8" t="s">
        <v>263</v>
      </c>
      <c r="E43" s="8">
        <v>2</v>
      </c>
      <c r="F43" s="4">
        <v>1</v>
      </c>
    </row>
    <row r="44" spans="1:6" x14ac:dyDescent="0.15">
      <c r="A44" s="6">
        <v>309</v>
      </c>
      <c r="B44" s="7">
        <v>3</v>
      </c>
      <c r="C44" s="29" t="s">
        <v>268</v>
      </c>
      <c r="D44" s="8" t="s">
        <v>273</v>
      </c>
      <c r="E44" s="8">
        <v>20</v>
      </c>
      <c r="F44" s="4">
        <v>1</v>
      </c>
    </row>
    <row r="45" spans="1:6" x14ac:dyDescent="0.15">
      <c r="A45" s="6">
        <v>310</v>
      </c>
      <c r="B45" s="7">
        <v>3</v>
      </c>
      <c r="C45" s="29" t="s">
        <v>271</v>
      </c>
      <c r="D45" s="8" t="s">
        <v>272</v>
      </c>
      <c r="E45" s="8">
        <v>1</v>
      </c>
      <c r="F45" s="4">
        <v>0</v>
      </c>
    </row>
    <row r="46" spans="1:6" x14ac:dyDescent="0.15">
      <c r="A46" s="6">
        <v>311</v>
      </c>
      <c r="B46" s="7">
        <v>3</v>
      </c>
      <c r="C46" s="29" t="s">
        <v>280</v>
      </c>
      <c r="D46" s="8" t="s">
        <v>281</v>
      </c>
      <c r="E46" s="8">
        <v>1</v>
      </c>
      <c r="F46" s="4">
        <v>0</v>
      </c>
    </row>
    <row r="47" spans="1:6" x14ac:dyDescent="0.15">
      <c r="A47" s="6">
        <v>312</v>
      </c>
      <c r="B47" s="7">
        <v>3</v>
      </c>
      <c r="C47" s="29" t="s">
        <v>269</v>
      </c>
      <c r="D47" s="8" t="s">
        <v>126</v>
      </c>
      <c r="E47" s="8">
        <v>10</v>
      </c>
      <c r="F47" s="4">
        <v>1</v>
      </c>
    </row>
    <row r="48" spans="1:6" x14ac:dyDescent="0.15">
      <c r="A48" s="6">
        <v>313</v>
      </c>
      <c r="B48" s="7">
        <v>3</v>
      </c>
      <c r="C48" s="29" t="s">
        <v>282</v>
      </c>
      <c r="D48" s="8" t="s">
        <v>283</v>
      </c>
      <c r="E48" s="8">
        <v>10</v>
      </c>
      <c r="F48" s="4">
        <v>1</v>
      </c>
    </row>
    <row r="49" spans="1:6" x14ac:dyDescent="0.15">
      <c r="A49" s="6">
        <v>314</v>
      </c>
      <c r="B49" s="7">
        <v>3</v>
      </c>
      <c r="C49" s="29" t="s">
        <v>282</v>
      </c>
      <c r="D49" s="8" t="s">
        <v>105</v>
      </c>
      <c r="E49" s="8">
        <v>10</v>
      </c>
      <c r="F49" s="4">
        <v>1</v>
      </c>
    </row>
    <row r="50" spans="1:6" x14ac:dyDescent="0.15">
      <c r="A50" s="6">
        <v>315</v>
      </c>
      <c r="B50" s="7">
        <v>3</v>
      </c>
      <c r="C50" s="29" t="s">
        <v>284</v>
      </c>
      <c r="D50" s="8" t="s">
        <v>294</v>
      </c>
      <c r="E50" s="8">
        <v>1</v>
      </c>
      <c r="F50" s="4">
        <v>0</v>
      </c>
    </row>
    <row r="51" spans="1:6" x14ac:dyDescent="0.15">
      <c r="A51" s="6">
        <v>401</v>
      </c>
      <c r="B51" s="7">
        <v>4</v>
      </c>
      <c r="C51" s="29" t="s">
        <v>303</v>
      </c>
      <c r="D51" s="8" t="s">
        <v>307</v>
      </c>
      <c r="E51" s="8">
        <v>1</v>
      </c>
      <c r="F51" s="4">
        <v>1</v>
      </c>
    </row>
    <row r="52" spans="1:6" x14ac:dyDescent="0.15">
      <c r="A52" s="6">
        <v>402</v>
      </c>
      <c r="B52" s="7">
        <v>4</v>
      </c>
      <c r="C52" s="29" t="s">
        <v>303</v>
      </c>
      <c r="D52" s="8" t="s">
        <v>308</v>
      </c>
      <c r="E52" s="8">
        <v>1</v>
      </c>
      <c r="F52" s="4">
        <v>1</v>
      </c>
    </row>
    <row r="53" spans="1:6" x14ac:dyDescent="0.15">
      <c r="A53" s="6">
        <v>403</v>
      </c>
      <c r="B53" s="7">
        <v>4</v>
      </c>
      <c r="C53" s="29" t="s">
        <v>271</v>
      </c>
      <c r="D53" s="8" t="s">
        <v>272</v>
      </c>
      <c r="E53" s="8">
        <v>1</v>
      </c>
      <c r="F53" s="4">
        <v>0</v>
      </c>
    </row>
    <row r="54" spans="1:6" x14ac:dyDescent="0.15">
      <c r="A54" s="6">
        <v>404</v>
      </c>
      <c r="B54" s="7">
        <v>4</v>
      </c>
      <c r="C54" s="29" t="s">
        <v>280</v>
      </c>
      <c r="D54" s="8" t="s">
        <v>281</v>
      </c>
      <c r="E54" s="8">
        <v>1</v>
      </c>
      <c r="F54" s="4">
        <v>0</v>
      </c>
    </row>
    <row r="55" spans="1:6" x14ac:dyDescent="0.15">
      <c r="A55" s="6">
        <v>405</v>
      </c>
      <c r="B55" s="7">
        <v>4</v>
      </c>
      <c r="C55" s="29" t="s">
        <v>269</v>
      </c>
      <c r="D55" s="8" t="s">
        <v>126</v>
      </c>
      <c r="E55" s="8">
        <v>10</v>
      </c>
      <c r="F55" s="4">
        <v>1</v>
      </c>
    </row>
    <row r="56" spans="1:6" x14ac:dyDescent="0.15">
      <c r="A56" s="6">
        <v>406</v>
      </c>
      <c r="B56" s="7">
        <v>4</v>
      </c>
      <c r="C56" s="29" t="s">
        <v>282</v>
      </c>
      <c r="D56" s="8" t="s">
        <v>283</v>
      </c>
      <c r="E56" s="8">
        <v>10</v>
      </c>
      <c r="F56" s="4">
        <v>1</v>
      </c>
    </row>
    <row r="57" spans="1:6" x14ac:dyDescent="0.15">
      <c r="A57" s="6">
        <v>407</v>
      </c>
      <c r="B57" s="7">
        <v>4</v>
      </c>
      <c r="C57" s="29" t="s">
        <v>282</v>
      </c>
      <c r="D57" s="8" t="s">
        <v>105</v>
      </c>
      <c r="E57" s="8">
        <v>10</v>
      </c>
      <c r="F57" s="4">
        <v>1</v>
      </c>
    </row>
    <row r="58" spans="1:6" x14ac:dyDescent="0.15">
      <c r="A58" s="6">
        <v>408</v>
      </c>
      <c r="B58" s="7">
        <v>4</v>
      </c>
      <c r="C58" s="29" t="s">
        <v>304</v>
      </c>
      <c r="D58" s="8" t="s">
        <v>306</v>
      </c>
      <c r="E58" s="8">
        <v>10</v>
      </c>
      <c r="F58" s="4">
        <v>1</v>
      </c>
    </row>
    <row r="59" spans="1:6" x14ac:dyDescent="0.15">
      <c r="A59" s="6">
        <v>409</v>
      </c>
      <c r="B59" s="7">
        <v>4</v>
      </c>
      <c r="C59" s="29" t="s">
        <v>305</v>
      </c>
      <c r="D59" s="8" t="s">
        <v>151</v>
      </c>
      <c r="E59" s="8">
        <v>10</v>
      </c>
      <c r="F59" s="4">
        <v>1</v>
      </c>
    </row>
  </sheetData>
  <phoneticPr fontId="9" type="noConversion"/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description</vt:lpstr>
      <vt:lpstr>cdkey_cfg</vt:lpstr>
      <vt:lpstr>drawcost_cfg</vt:lpstr>
      <vt:lpstr>draw_cfg</vt:lpstr>
      <vt:lpstr>active_cfg</vt:lpstr>
      <vt:lpstr>activequest_cfg</vt:lpstr>
      <vt:lpstr>activechange_cfg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2017-12-20T01:40:56Z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