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-越南版\"/>
    </mc:Choice>
  </mc:AlternateContent>
  <bookViews>
    <workbookView xWindow="0" yWindow="0" windowWidth="28695" windowHeight="14850" activeTab="1" xr2:uid="{00000000-000D-0000-FFFF-FFFF00000000}"/>
  </bookViews>
  <sheets>
    <sheet name="description" sheetId="1" r:id="rId1"/>
    <sheet name="change_cfg" sheetId="5" r:id="rId2"/>
  </sheets>
  <functionGroups builtInGroupCount="19"/>
  <calcPr calcId="171027"/>
</workbook>
</file>

<file path=xl/calcChain.xml><?xml version="1.0" encoding="utf-8"?>
<calcChain xmlns="http://schemas.openxmlformats.org/spreadsheetml/2006/main">
  <c r="G5" i="5" l="1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4" i="5"/>
  <c r="A10" i="5" l="1"/>
  <c r="A11" i="5"/>
  <c r="A12" i="5" s="1"/>
  <c r="A13" i="5" s="1"/>
  <c r="A14" i="5" s="1"/>
  <c r="A15" i="5" s="1"/>
  <c r="A16" i="5"/>
  <c r="A17" i="5" s="1"/>
  <c r="A18" i="5" s="1"/>
  <c r="A19" i="5" s="1"/>
  <c r="A20" i="5" s="1"/>
  <c r="A21" i="5" s="1"/>
  <c r="A22" i="5"/>
  <c r="A23" i="5"/>
  <c r="A24" i="5" s="1"/>
  <c r="A25" i="5" s="1"/>
  <c r="A26" i="5" s="1"/>
  <c r="A27" i="5"/>
  <c r="A28" i="5" s="1"/>
  <c r="A29" i="5" s="1"/>
  <c r="A30" i="5" s="1"/>
  <c r="A31" i="5" s="1"/>
  <c r="A32" i="5" s="1"/>
  <c r="A4" i="5"/>
  <c r="A5" i="5" s="1"/>
  <c r="A6" i="5" s="1"/>
  <c r="A7" i="5" s="1"/>
  <c r="A8" i="5" s="1"/>
  <c r="A9" i="5" s="1"/>
  <c r="K15" i="5"/>
  <c r="J15" i="5"/>
  <c r="K14" i="5"/>
  <c r="J14" i="5"/>
  <c r="K13" i="5"/>
  <c r="J13" i="5"/>
  <c r="K12" i="5"/>
  <c r="J12" i="5"/>
  <c r="K11" i="5"/>
  <c r="J11" i="5"/>
  <c r="K10" i="5"/>
  <c r="J10" i="5"/>
  <c r="K21" i="5"/>
  <c r="J21" i="5"/>
  <c r="K20" i="5"/>
  <c r="J20" i="5"/>
  <c r="K19" i="5"/>
  <c r="J19" i="5"/>
  <c r="K18" i="5"/>
  <c r="J18" i="5"/>
  <c r="K17" i="5"/>
  <c r="J17" i="5"/>
  <c r="K16" i="5"/>
  <c r="J16" i="5"/>
  <c r="K9" i="5"/>
  <c r="J9" i="5"/>
  <c r="J4" i="5" l="1"/>
  <c r="K32" i="5"/>
  <c r="J32" i="5"/>
  <c r="K31" i="5"/>
  <c r="J31" i="5"/>
  <c r="K30" i="5"/>
  <c r="J30" i="5"/>
  <c r="K8" i="5"/>
  <c r="J8" i="5"/>
  <c r="K7" i="5"/>
  <c r="J7" i="5"/>
  <c r="K6" i="5"/>
  <c r="J6" i="5"/>
  <c r="J27" i="5"/>
  <c r="J28" i="5"/>
  <c r="J29" i="5"/>
  <c r="K27" i="5"/>
  <c r="K28" i="5"/>
  <c r="K29" i="5"/>
  <c r="K4" i="5" l="1"/>
  <c r="K5" i="5"/>
  <c r="K22" i="5"/>
  <c r="K23" i="5"/>
  <c r="K24" i="5"/>
  <c r="K25" i="5"/>
  <c r="K26" i="5"/>
  <c r="J5" i="5"/>
  <c r="J22" i="5"/>
  <c r="J23" i="5"/>
  <c r="J24" i="5"/>
  <c r="J25" i="5"/>
  <c r="J26" i="5"/>
</calcChain>
</file>

<file path=xl/sharedStrings.xml><?xml version="1.0" encoding="utf-8"?>
<sst xmlns="http://schemas.openxmlformats.org/spreadsheetml/2006/main" count="148" uniqueCount="112">
  <si>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</si>
  <si>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</si>
  <si>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</si>
  <si>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</si>
  <si>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</si>
  <si>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</si>
  <si>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</si>
  <si>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</si>
  <si>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</si>
  <si>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</si>
  <si>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</si>
  <si>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</si>
  <si>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</si>
  <si>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int</t>
  </si>
  <si>
    <t>unexport</t>
  </si>
  <si>
    <t>1. 捕获x鱼y条，如果x为0则为任意鱼</t>
  </si>
  <si>
    <t>2. 使用x技能y次，如果x为0则为任意技能</t>
  </si>
  <si>
    <t>3. 角色等级x级</t>
  </si>
  <si>
    <t>4. 解锁炮台x倍</t>
  </si>
  <si>
    <t>5. 利用x鱼炸死y条其他鱼</t>
  </si>
  <si>
    <t>6. 获得炮台皮肤x个</t>
  </si>
  <si>
    <t>7. 单次开炮捕获鱼x条</t>
  </si>
  <si>
    <t>8. 单次开炮获得金币x</t>
  </si>
  <si>
    <t>9. 累计获得金币x</t>
  </si>
  <si>
    <t>10. 累计消耗钻石x</t>
  </si>
  <si>
    <t>11. 累计消耗金币x</t>
  </si>
  <si>
    <t>12. 分享x次</t>
  </si>
  <si>
    <t>13. 累计登录x天</t>
  </si>
  <si>
    <t>14. 获得排位x阶段位y次</t>
  </si>
  <si>
    <t>15. 成为VIPx</t>
  </si>
  <si>
    <t>16. 达成龙宫x星y次</t>
  </si>
  <si>
    <t>17. 获得x点成就点</t>
  </si>
  <si>
    <t>名称</t>
    <phoneticPr fontId="6" type="noConversion"/>
  </si>
  <si>
    <t>18. 购买x次金币</t>
    <phoneticPr fontId="6" type="noConversion"/>
  </si>
  <si>
    <t>19. 充值x钻石，如果是每日充值参数1填1</t>
    <phoneticPr fontId="6" type="noConversion"/>
  </si>
  <si>
    <t>20. 参与保卫女神x次</t>
    <phoneticPr fontId="6" type="noConversion"/>
  </si>
  <si>
    <t>21. 放养x次鱼</t>
    <phoneticPr fontId="6" type="noConversion"/>
  </si>
  <si>
    <t>22. 保卫女神最高闯过x关</t>
    <phoneticPr fontId="6" type="noConversion"/>
  </si>
  <si>
    <t>23. 宠物鱼总等级x级</t>
    <phoneticPr fontId="6" type="noConversion"/>
  </si>
  <si>
    <t>24. 解锁x个女神</t>
    <phoneticPr fontId="6" type="noConversion"/>
  </si>
  <si>
    <t>25. 在x小游戏中获得y分（0接金币，1河豚）</t>
    <phoneticPr fontId="6" type="noConversion"/>
  </si>
  <si>
    <t>26. 金币大于等于xx,金币排名小于等于x名</t>
    <phoneticPr fontId="6" type="noConversion"/>
  </si>
  <si>
    <t>27. 排位赛段位大于等于x</t>
    <phoneticPr fontId="6" type="noConversion"/>
  </si>
  <si>
    <t>兑换ID</t>
    <phoneticPr fontId="5" type="noConversion"/>
  </si>
  <si>
    <t>所属分页</t>
    <phoneticPr fontId="5" type="noConversion"/>
  </si>
  <si>
    <t>兑换道具</t>
    <phoneticPr fontId="5" type="noConversion"/>
  </si>
  <si>
    <t>每日库存</t>
    <phoneticPr fontId="5" type="noConversion"/>
  </si>
  <si>
    <t>int</t>
    <phoneticPr fontId="5" type="noConversion"/>
  </si>
  <si>
    <t>type</t>
    <phoneticPr fontId="5" type="noConversion"/>
  </si>
  <si>
    <t>item</t>
    <phoneticPr fontId="5" type="noConversion"/>
  </si>
  <si>
    <t>table</t>
    <phoneticPr fontId="5" type="noConversion"/>
  </si>
  <si>
    <t>cost</t>
    <phoneticPr fontId="5" type="noConversion"/>
  </si>
  <si>
    <t>count</t>
    <phoneticPr fontId="5" type="noConversion"/>
  </si>
  <si>
    <t>总库存</t>
    <phoneticPr fontId="5" type="noConversion"/>
  </si>
  <si>
    <t>total</t>
    <phoneticPr fontId="5" type="noConversion"/>
  </si>
  <si>
    <t>需要话费券</t>
    <phoneticPr fontId="5" type="noConversion"/>
  </si>
  <si>
    <t>是否公告</t>
    <phoneticPr fontId="5" type="noConversion"/>
  </si>
  <si>
    <t>notice</t>
    <phoneticPr fontId="5" type="noConversion"/>
  </si>
  <si>
    <t>["i800",1]</t>
    <phoneticPr fontId="5" type="noConversion"/>
  </si>
  <si>
    <t>["i801",1]</t>
    <phoneticPr fontId="5" type="noConversion"/>
  </si>
  <si>
    <t>int</t>
    <phoneticPr fontId="5" type="noConversion"/>
  </si>
  <si>
    <t>scount</t>
    <phoneticPr fontId="5" type="noConversion"/>
  </si>
  <si>
    <t>stotal</t>
    <phoneticPr fontId="5" type="noConversion"/>
  </si>
  <si>
    <t>["i805",1]</t>
    <phoneticPr fontId="5" type="noConversion"/>
  </si>
  <si>
    <t>["i002",100]</t>
    <phoneticPr fontId="5" type="noConversion"/>
  </si>
  <si>
    <t>["i400",10]</t>
    <phoneticPr fontId="5" type="noConversion"/>
  </si>
  <si>
    <t>["i002",10]</t>
    <phoneticPr fontId="5" type="noConversion"/>
  </si>
  <si>
    <t>["i400",1]</t>
    <phoneticPr fontId="5" type="noConversion"/>
  </si>
  <si>
    <t>当前每日库存id</t>
    <phoneticPr fontId="5" type="noConversion"/>
  </si>
  <si>
    <t>当前总库存id</t>
    <phoneticPr fontId="5" type="noConversion"/>
  </si>
  <si>
    <t>["i802",1]</t>
    <phoneticPr fontId="5" type="noConversion"/>
  </si>
  <si>
    <t>["i803",1]</t>
    <phoneticPr fontId="5" type="noConversion"/>
  </si>
  <si>
    <t>["i804",1]</t>
    <phoneticPr fontId="5" type="noConversion"/>
  </si>
  <si>
    <t>子类型</t>
    <phoneticPr fontId="5" type="noConversion"/>
  </si>
  <si>
    <t>type2</t>
    <phoneticPr fontId="5" type="noConversion"/>
  </si>
  <si>
    <t>Viettel预付卡10000</t>
  </si>
  <si>
    <t>Viettel预付卡20000</t>
  </si>
  <si>
    <t>Viettel预付卡50000</t>
  </si>
  <si>
    <t>Viettel预付卡100000</t>
  </si>
  <si>
    <t>Viettel预付卡200000</t>
  </si>
  <si>
    <t>Viettel预付卡500000</t>
  </si>
  <si>
    <t>Vinaphone预付卡10000</t>
  </si>
  <si>
    <t>Vinaphone预付卡20000</t>
  </si>
  <si>
    <t>Vinaphone预付卡50000</t>
  </si>
  <si>
    <t>Vinaphone预付卡100000</t>
  </si>
  <si>
    <t>Vinaphone预付卡200000</t>
  </si>
  <si>
    <t>Vinaphone预付卡500000</t>
  </si>
  <si>
    <t>Mobifone预付卡10000</t>
  </si>
  <si>
    <t>Mobifone预付卡20000</t>
  </si>
  <si>
    <t>Mobifone预付卡50000</t>
  </si>
  <si>
    <t>Mobifone预付卡100000</t>
  </si>
  <si>
    <t>Mobifone预付卡200000</t>
  </si>
  <si>
    <t>Mobifone预付卡500000</t>
  </si>
  <si>
    <t>["i850",1]</t>
    <phoneticPr fontId="5" type="noConversion"/>
  </si>
  <si>
    <t>["i851",1]</t>
    <phoneticPr fontId="5" type="noConversion"/>
  </si>
  <si>
    <t>["i852",1]</t>
    <phoneticPr fontId="5" type="noConversion"/>
  </si>
  <si>
    <t>["i853",1]</t>
    <phoneticPr fontId="5" type="noConversion"/>
  </si>
  <si>
    <t>剃须刀</t>
  </si>
  <si>
    <t>空气净化器</t>
  </si>
  <si>
    <t>iPhone8</t>
  </si>
  <si>
    <t>iPhoneX</t>
  </si>
  <si>
    <t>面额</t>
    <phoneticPr fontId="5" type="noConversion"/>
  </si>
  <si>
    <t>int</t>
    <phoneticPr fontId="5" type="noConversion"/>
  </si>
  <si>
    <t>value</t>
    <phoneticPr fontId="5" type="noConversion"/>
  </si>
  <si>
    <t>话费运营商</t>
    <phoneticPr fontId="5" type="noConversion"/>
  </si>
  <si>
    <t>string</t>
    <phoneticPr fontId="5" type="noConversion"/>
  </si>
  <si>
    <t>viettel</t>
    <phoneticPr fontId="5" type="noConversion"/>
  </si>
  <si>
    <t>vms</t>
  </si>
  <si>
    <t>vnp</t>
  </si>
  <si>
    <t>business</t>
    <phoneticPr fontId="5" type="noConversion"/>
  </si>
  <si>
    <t>["i006",1]</t>
    <phoneticPr fontId="5" type="noConversion"/>
  </si>
  <si>
    <t>["i006",10]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</si>
</sst>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0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19">
    <xf numFmtId="0" fontId="0" fillId="0" borderId="0" xfId="0" applyAlignment="1"/>
    <xf numFmtId="49" fontId="3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/>
    </xf>
    <xf numFmtId="49" fontId="1" fillId="3" borderId="1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4" fillId="0" borderId="0" xfId="1" applyNumberFormat="1" applyAlignment="1"/>
    <xf numFmtId="0" fontId="4" fillId="0" borderId="0" xfId="1" applyAlignment="1"/>
    <xf numFmtId="49" fontId="1" fillId="3" borderId="3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right"/>
    </xf>
    <xf numFmtId="49" fontId="1" fillId="3" borderId="1" xfId="0" applyNumberFormat="1" applyFont="1" applyFill="1" applyBorder="1" applyAlignment="1">
      <alignment horizontal="right" vertical="center"/>
    </xf>
    <xf numFmtId="0" fontId="2" fillId="0" borderId="0" xfId="0" applyNumberFormat="1" applyFon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0" fillId="0" borderId="0" xfId="0" applyNumberFormat="1" applyAlignment="1"/>
  </cellXfs>
  <cellStyles count="2">
    <cellStyle name="常规" xfId="0" builtinId="0"/>
    <cellStyle name="常规 2" xfId="1" xr:uid="{00000000-0005-0000-0000-000001000000}"/>
  </cellStyles>
  <dxfs count="14"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304800</xdr:colOff>
      <xdr:row>2</xdr:row>
      <xdr:rowOff>28575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36D0723D-DFC8-4068-B0FB-822D9765708C}"/>
            </a:ext>
          </a:extLst>
        </xdr:cNvPr>
        <xdr:cNvSpPr/>
      </xdr:nvSpPr>
      <xdr:spPr>
        <a:xfrm>
          <a:off x="0" y="0"/>
          <a:ext cx="30480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表3" displayName="表3" ref="A3:M32" totalsRowShown="0" dataDxfId="13">
  <autoFilter ref="A3:M32" xr:uid="{00000000-0009-0000-0100-000003000000}"/>
  <tableColumns count="13">
    <tableColumn id="1" xr3:uid="{00000000-0010-0000-0000-000001000000}" name="兑换ID" dataDxfId="12">
      <calculatedColumnFormula>IF(AND(表3[[#This Row],[所属分页]]=B3,表3[[#This Row],[子类型]]=C3),A3+1,表3[[#This Row],[所属分页]]*1000+表3[[#This Row],[子类型]]*10+1)</calculatedColumnFormula>
    </tableColumn>
    <tableColumn id="2" xr3:uid="{00000000-0010-0000-0000-000002000000}" name="所属分页" dataDxfId="11"/>
    <tableColumn id="11" xr3:uid="{D20B48B5-5D3B-4AC0-B7E1-81726DEE82A5}" name="子类型" dataDxfId="10"/>
    <tableColumn id="3" xr3:uid="{00000000-0010-0000-0000-000003000000}" name="兑换道具" dataDxfId="9"/>
    <tableColumn id="12" xr3:uid="{44AA3E50-86C8-4689-A6D8-09DE44249F50}" name="面额" dataDxfId="8"/>
    <tableColumn id="13" xr3:uid="{D83971D1-16D5-407D-A603-B6BBEADB5EE2}" name="话费运营商" dataDxfId="7"/>
    <tableColumn id="4" xr3:uid="{00000000-0010-0000-0000-000004000000}" name="需要话费券" dataDxfId="6"/>
    <tableColumn id="5" xr3:uid="{00000000-0010-0000-0000-000005000000}" name="每日库存" dataDxfId="5"/>
    <tableColumn id="7" xr3:uid="{00000000-0010-0000-0000-000007000000}" name="总库存" dataDxfId="4"/>
    <tableColumn id="9" xr3:uid="{00000000-0010-0000-0000-000009000000}" name="当前每日库存id" dataDxfId="3">
      <calculatedColumnFormula>(ROW()-4)*2+1</calculatedColumnFormula>
    </tableColumn>
    <tableColumn id="10" xr3:uid="{00000000-0010-0000-0000-00000A000000}" name="当前总库存id" dataDxfId="2">
      <calculatedColumnFormula>(ROW()-3)*2</calculatedColumnFormula>
    </tableColumn>
    <tableColumn id="8" xr3:uid="{00000000-0010-0000-0000-000008000000}" name="是否公告" dataDxfId="1"/>
    <tableColumn id="6" xr3:uid="{00000000-0010-0000-0000-000006000000}" name="名称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3"/>
  <sheetViews>
    <sheetView workbookViewId="0">
      <selection activeCell="B46" sqref="B46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4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7" t="s">
        <v>4</v>
      </c>
      <c r="B3" t="s">
        <v>5</v>
      </c>
    </row>
    <row r="4" spans="1:2" ht="16.5" x14ac:dyDescent="0.15">
      <c r="A4" s="8" t="s">
        <v>6</v>
      </c>
      <c r="B4" t="s">
        <v>7</v>
      </c>
    </row>
    <row r="6" spans="1:2" x14ac:dyDescent="0.15">
      <c r="A6" s="16" t="s">
        <v>8</v>
      </c>
      <c r="B6" s="17"/>
    </row>
    <row r="7" spans="1:2" x14ac:dyDescent="0.15">
      <c r="A7" s="17"/>
      <c r="B7" s="17"/>
    </row>
    <row r="8" spans="1:2" x14ac:dyDescent="0.15">
      <c r="A8" s="17"/>
      <c r="B8" s="17"/>
    </row>
    <row r="9" spans="1:2" x14ac:dyDescent="0.15">
      <c r="A9" s="17"/>
      <c r="B9" s="17"/>
    </row>
    <row r="10" spans="1:2" x14ac:dyDescent="0.15">
      <c r="A10" s="17"/>
      <c r="B10" s="17"/>
    </row>
    <row r="11" spans="1:2" x14ac:dyDescent="0.15">
      <c r="A11" s="17"/>
      <c r="B11" s="17"/>
    </row>
    <row r="12" spans="1:2" x14ac:dyDescent="0.15">
      <c r="A12" s="17"/>
      <c r="B12" s="17"/>
    </row>
    <row r="13" spans="1:2" x14ac:dyDescent="0.15">
      <c r="A13" s="17"/>
      <c r="B13" s="17"/>
    </row>
    <row r="14" spans="1:2" x14ac:dyDescent="0.15">
      <c r="A14" s="17"/>
      <c r="B14" s="17"/>
    </row>
    <row r="15" spans="1:2" x14ac:dyDescent="0.15">
      <c r="A15" s="17"/>
      <c r="B15" s="17"/>
    </row>
    <row r="16" spans="1:2" ht="13.15" customHeight="1" x14ac:dyDescent="0.15">
      <c r="A16" s="17"/>
      <c r="B16" s="17"/>
    </row>
    <row r="17" spans="1:2" ht="4.1500000000000004" customHeight="1" x14ac:dyDescent="0.15">
      <c r="A17" s="17"/>
      <c r="B17" s="17"/>
    </row>
    <row r="18" spans="1:2" hidden="1" x14ac:dyDescent="0.15">
      <c r="A18" s="17"/>
      <c r="B18" s="17"/>
    </row>
    <row r="19" spans="1:2" hidden="1" x14ac:dyDescent="0.15">
      <c r="A19" s="17"/>
      <c r="B19" s="17"/>
    </row>
    <row r="20" spans="1:2" hidden="1" x14ac:dyDescent="0.15">
      <c r="A20" s="17"/>
      <c r="B20" s="17"/>
    </row>
    <row r="21" spans="1:2" ht="22.9" customHeight="1" x14ac:dyDescent="0.15">
      <c r="A21" s="17"/>
      <c r="B21" s="17"/>
    </row>
    <row r="22" spans="1:2" ht="45" customHeight="1" x14ac:dyDescent="0.15">
      <c r="A22" s="17"/>
      <c r="B22" s="17"/>
    </row>
    <row r="23" spans="1:2" ht="51" hidden="1" customHeight="1" x14ac:dyDescent="0.15">
      <c r="A23" s="17"/>
      <c r="B23" s="17"/>
    </row>
    <row r="24" spans="1:2" x14ac:dyDescent="0.15">
      <c r="A24" s="18" t="s">
        <v>9</v>
      </c>
      <c r="B24" s="18"/>
    </row>
    <row r="25" spans="1:2" x14ac:dyDescent="0.15">
      <c r="A25" s="18" t="s">
        <v>10</v>
      </c>
      <c r="B25" s="18"/>
    </row>
    <row r="26" spans="1:2" x14ac:dyDescent="0.15">
      <c r="A26" s="18" t="s">
        <v>11</v>
      </c>
      <c r="B26" s="18"/>
    </row>
    <row r="27" spans="1:2" x14ac:dyDescent="0.15">
      <c r="A27" s="9"/>
      <c r="B27" s="10" t="s">
        <v>15</v>
      </c>
    </row>
    <row r="28" spans="1:2" x14ac:dyDescent="0.15">
      <c r="A28" s="9"/>
      <c r="B28" s="10" t="s">
        <v>16</v>
      </c>
    </row>
    <row r="29" spans="1:2" x14ac:dyDescent="0.15">
      <c r="A29" s="9"/>
      <c r="B29" s="10" t="s">
        <v>17</v>
      </c>
    </row>
    <row r="30" spans="1:2" x14ac:dyDescent="0.15">
      <c r="A30" s="9"/>
      <c r="B30" s="10" t="s">
        <v>18</v>
      </c>
    </row>
    <row r="31" spans="1:2" x14ac:dyDescent="0.15">
      <c r="A31" s="9"/>
      <c r="B31" s="10" t="s">
        <v>19</v>
      </c>
    </row>
    <row r="32" spans="1:2" x14ac:dyDescent="0.15">
      <c r="A32" s="9"/>
      <c r="B32" s="10" t="s">
        <v>20</v>
      </c>
    </row>
    <row r="33" spans="1:2" x14ac:dyDescent="0.15">
      <c r="A33" s="9"/>
      <c r="B33" s="10" t="s">
        <v>21</v>
      </c>
    </row>
    <row r="34" spans="1:2" x14ac:dyDescent="0.15">
      <c r="A34" s="9"/>
      <c r="B34" s="10" t="s">
        <v>22</v>
      </c>
    </row>
    <row r="35" spans="1:2" x14ac:dyDescent="0.15">
      <c r="A35" s="9"/>
      <c r="B35" s="10" t="s">
        <v>23</v>
      </c>
    </row>
    <row r="36" spans="1:2" x14ac:dyDescent="0.15">
      <c r="A36" s="9"/>
      <c r="B36" s="10" t="s">
        <v>24</v>
      </c>
    </row>
    <row r="37" spans="1:2" x14ac:dyDescent="0.15">
      <c r="A37" s="9"/>
      <c r="B37" s="10" t="s">
        <v>25</v>
      </c>
    </row>
    <row r="38" spans="1:2" x14ac:dyDescent="0.15">
      <c r="A38" s="9"/>
      <c r="B38" s="10" t="s">
        <v>26</v>
      </c>
    </row>
    <row r="39" spans="1:2" x14ac:dyDescent="0.15">
      <c r="A39" s="9"/>
      <c r="B39" s="10" t="s">
        <v>27</v>
      </c>
    </row>
    <row r="40" spans="1:2" x14ac:dyDescent="0.15">
      <c r="A40" s="9"/>
      <c r="B40" s="10" t="s">
        <v>28</v>
      </c>
    </row>
    <row r="41" spans="1:2" x14ac:dyDescent="0.15">
      <c r="A41" s="9"/>
      <c r="B41" s="10" t="s">
        <v>29</v>
      </c>
    </row>
    <row r="42" spans="1:2" x14ac:dyDescent="0.15">
      <c r="A42" s="9"/>
      <c r="B42" s="10" t="s">
        <v>30</v>
      </c>
    </row>
    <row r="43" spans="1:2" x14ac:dyDescent="0.15">
      <c r="A43" s="9"/>
      <c r="B43" s="10" t="s">
        <v>31</v>
      </c>
    </row>
    <row r="44" spans="1:2" x14ac:dyDescent="0.15">
      <c r="A44" s="9"/>
      <c r="B44" s="10" t="s">
        <v>33</v>
      </c>
    </row>
    <row r="45" spans="1:2" x14ac:dyDescent="0.15">
      <c r="A45" s="9"/>
      <c r="B45" s="10" t="s">
        <v>34</v>
      </c>
    </row>
    <row r="46" spans="1:2" x14ac:dyDescent="0.15">
      <c r="B46" s="10" t="s">
        <v>35</v>
      </c>
    </row>
    <row r="47" spans="1:2" x14ac:dyDescent="0.15">
      <c r="B47" s="10" t="s">
        <v>36</v>
      </c>
    </row>
    <row r="48" spans="1:2" x14ac:dyDescent="0.15">
      <c r="B48" s="10" t="s">
        <v>37</v>
      </c>
    </row>
    <row r="49" spans="2:2" x14ac:dyDescent="0.15">
      <c r="B49" s="10" t="s">
        <v>38</v>
      </c>
    </row>
    <row r="50" spans="2:2" x14ac:dyDescent="0.15">
      <c r="B50" s="10" t="s">
        <v>39</v>
      </c>
    </row>
    <row r="51" spans="2:2" x14ac:dyDescent="0.15">
      <c r="B51" s="10" t="s">
        <v>40</v>
      </c>
    </row>
    <row r="52" spans="2:2" x14ac:dyDescent="0.15">
      <c r="B52" s="11" t="s">
        <v>41</v>
      </c>
    </row>
    <row r="53" spans="2:2" x14ac:dyDescent="0.15">
      <c r="B53" s="11" t="s">
        <v>42</v>
      </c>
    </row>
  </sheetData>
  <mergeCells count="4">
    <mergeCell ref="A6:B23"/>
    <mergeCell ref="A24:B24"/>
    <mergeCell ref="A25:B25"/>
    <mergeCell ref="A26:B26"/>
  </mergeCells>
  <phoneticPr fontId="5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2"/>
  <sheetViews>
    <sheetView tabSelected="1" workbookViewId="0">
      <selection activeCell="G14" sqref="G14"/>
    </sheetView>
  </sheetViews>
  <sheetFormatPr defaultColWidth="9" defaultRowHeight="13.5" x14ac:dyDescent="0.15"/>
  <cols>
    <col min="1" max="1" width="9" customWidth="1"/>
    <col min="2" max="2" width="10.5" bestFit="1" customWidth="1"/>
    <col min="3" max="3" width="10.5" customWidth="1"/>
    <col min="4" max="4" width="15.125" bestFit="1" customWidth="1"/>
    <col min="5" max="5" width="7" bestFit="1" customWidth="1"/>
    <col min="6" max="6" width="10.875" customWidth="1"/>
    <col min="7" max="7" width="12.25" bestFit="1" customWidth="1"/>
    <col min="8" max="8" width="10.5" bestFit="1" customWidth="1"/>
    <col min="9" max="9" width="10.5" customWidth="1"/>
    <col min="10" max="10" width="16.375" bestFit="1" customWidth="1"/>
    <col min="11" max="11" width="17.5" bestFit="1" customWidth="1"/>
    <col min="12" max="12" width="10.5" customWidth="1"/>
    <col min="13" max="13" width="17.375" customWidth="1"/>
  </cols>
  <sheetData>
    <row r="1" spans="1:13" ht="17.25" x14ac:dyDescent="0.35">
      <c r="A1" s="13" t="s">
        <v>12</v>
      </c>
      <c r="B1" s="4" t="s">
        <v>48</v>
      </c>
      <c r="C1" s="4" t="s">
        <v>74</v>
      </c>
      <c r="D1" s="4" t="s">
        <v>49</v>
      </c>
      <c r="E1" s="4" t="s">
        <v>103</v>
      </c>
      <c r="F1" s="4" t="s">
        <v>109</v>
      </c>
      <c r="G1" s="4" t="s">
        <v>51</v>
      </c>
      <c r="H1" s="4" t="s">
        <v>52</v>
      </c>
      <c r="I1" s="4" t="s">
        <v>54</v>
      </c>
      <c r="J1" s="4" t="s">
        <v>61</v>
      </c>
      <c r="K1" s="4" t="s">
        <v>62</v>
      </c>
      <c r="L1" s="4" t="s">
        <v>57</v>
      </c>
      <c r="M1" s="1" t="s">
        <v>14</v>
      </c>
    </row>
    <row r="2" spans="1:13" ht="16.5" x14ac:dyDescent="0.15">
      <c r="A2" s="14" t="s">
        <v>13</v>
      </c>
      <c r="B2" s="5" t="s">
        <v>47</v>
      </c>
      <c r="C2" s="5" t="s">
        <v>47</v>
      </c>
      <c r="D2" s="5" t="s">
        <v>50</v>
      </c>
      <c r="E2" s="5" t="s">
        <v>102</v>
      </c>
      <c r="F2" s="5" t="s">
        <v>105</v>
      </c>
      <c r="G2" s="5" t="s">
        <v>47</v>
      </c>
      <c r="H2" s="5" t="s">
        <v>47</v>
      </c>
      <c r="I2" s="5" t="s">
        <v>47</v>
      </c>
      <c r="J2" s="12" t="s">
        <v>60</v>
      </c>
      <c r="K2" s="12" t="s">
        <v>60</v>
      </c>
      <c r="L2" s="12" t="s">
        <v>47</v>
      </c>
      <c r="M2" s="3" t="s">
        <v>14</v>
      </c>
    </row>
    <row r="3" spans="1:13" x14ac:dyDescent="0.15">
      <c r="A3" s="6" t="s">
        <v>43</v>
      </c>
      <c r="B3" s="6" t="s">
        <v>44</v>
      </c>
      <c r="C3" s="6" t="s">
        <v>73</v>
      </c>
      <c r="D3" s="6" t="s">
        <v>45</v>
      </c>
      <c r="E3" s="6" t="s">
        <v>101</v>
      </c>
      <c r="F3" s="6" t="s">
        <v>104</v>
      </c>
      <c r="G3" s="6" t="s">
        <v>55</v>
      </c>
      <c r="H3" s="6" t="s">
        <v>46</v>
      </c>
      <c r="I3" s="6" t="s">
        <v>53</v>
      </c>
      <c r="J3" s="6" t="s">
        <v>68</v>
      </c>
      <c r="K3" s="6" t="s">
        <v>69</v>
      </c>
      <c r="L3" s="6" t="s">
        <v>56</v>
      </c>
      <c r="M3" t="s">
        <v>32</v>
      </c>
    </row>
    <row r="4" spans="1:13" x14ac:dyDescent="0.15">
      <c r="A4" s="6">
        <f>IF(AND(表3[[#This Row],[所属分页]]=B3,表3[[#This Row],[子类型]]=C3),A3+1,表3[[#This Row],[所属分页]]*1000+表3[[#This Row],[子类型]]*10+1)</f>
        <v>1011</v>
      </c>
      <c r="B4" s="6">
        <v>1</v>
      </c>
      <c r="C4" s="6">
        <v>1</v>
      </c>
      <c r="D4" s="6" t="s">
        <v>58</v>
      </c>
      <c r="E4" s="6">
        <v>10000</v>
      </c>
      <c r="F4" s="6" t="s">
        <v>106</v>
      </c>
      <c r="G4" s="6">
        <f>表3[[#This Row],[面额]]*3.75</f>
        <v>37500</v>
      </c>
      <c r="H4" s="6">
        <v>99999999</v>
      </c>
      <c r="I4" s="6">
        <v>99999999</v>
      </c>
      <c r="J4" s="6">
        <f t="shared" ref="J4:J26" si="0">(ROW()-4)*2+1</f>
        <v>1</v>
      </c>
      <c r="K4" s="6">
        <f t="shared" ref="K4:K26" si="1">(ROW()-3)*2</f>
        <v>2</v>
      </c>
      <c r="L4" s="6">
        <v>1</v>
      </c>
      <c r="M4" s="6" t="s">
        <v>75</v>
      </c>
    </row>
    <row r="5" spans="1:13" x14ac:dyDescent="0.15">
      <c r="A5" s="6">
        <f>IF(AND(表3[[#This Row],[所属分页]]=B4,表3[[#This Row],[子类型]]=C4),A4+1,表3[[#This Row],[所属分页]]*1000+表3[[#This Row],[子类型]]*10+1)</f>
        <v>1012</v>
      </c>
      <c r="B5" s="6">
        <v>1</v>
      </c>
      <c r="C5" s="6">
        <v>1</v>
      </c>
      <c r="D5" s="6" t="s">
        <v>59</v>
      </c>
      <c r="E5" s="6">
        <v>20000</v>
      </c>
      <c r="F5" s="6" t="s">
        <v>106</v>
      </c>
      <c r="G5" s="6">
        <f>表3[[#This Row],[面额]]*3.75</f>
        <v>75000</v>
      </c>
      <c r="H5" s="6">
        <v>99999999</v>
      </c>
      <c r="I5" s="6">
        <v>99999999</v>
      </c>
      <c r="J5" s="6">
        <f t="shared" si="0"/>
        <v>3</v>
      </c>
      <c r="K5" s="6">
        <f t="shared" si="1"/>
        <v>4</v>
      </c>
      <c r="L5" s="6">
        <v>1</v>
      </c>
      <c r="M5" s="6" t="s">
        <v>76</v>
      </c>
    </row>
    <row r="6" spans="1:13" x14ac:dyDescent="0.15">
      <c r="A6" s="6">
        <f>IF(AND(表3[[#This Row],[所属分页]]=B5,表3[[#This Row],[子类型]]=C5),A5+1,表3[[#This Row],[所属分页]]*1000+表3[[#This Row],[子类型]]*10+1)</f>
        <v>1013</v>
      </c>
      <c r="B6" s="6">
        <v>1</v>
      </c>
      <c r="C6" s="6">
        <v>1</v>
      </c>
      <c r="D6" s="6" t="s">
        <v>70</v>
      </c>
      <c r="E6" s="6">
        <v>50000</v>
      </c>
      <c r="F6" s="6" t="s">
        <v>106</v>
      </c>
      <c r="G6" s="6">
        <f>表3[[#This Row],[面额]]*3.75</f>
        <v>187500</v>
      </c>
      <c r="H6" s="6">
        <v>99999999</v>
      </c>
      <c r="I6" s="6">
        <v>99999999</v>
      </c>
      <c r="J6" s="6">
        <f t="shared" si="0"/>
        <v>5</v>
      </c>
      <c r="K6" s="6">
        <f t="shared" si="1"/>
        <v>6</v>
      </c>
      <c r="L6" s="6">
        <v>1</v>
      </c>
      <c r="M6" s="6" t="s">
        <v>77</v>
      </c>
    </row>
    <row r="7" spans="1:13" x14ac:dyDescent="0.15">
      <c r="A7" s="6">
        <f>IF(AND(表3[[#This Row],[所属分页]]=B6,表3[[#This Row],[子类型]]=C6),A6+1,表3[[#This Row],[所属分页]]*1000+表3[[#This Row],[子类型]]*10+1)</f>
        <v>1014</v>
      </c>
      <c r="B7" s="6">
        <v>1</v>
      </c>
      <c r="C7" s="6">
        <v>1</v>
      </c>
      <c r="D7" s="6" t="s">
        <v>71</v>
      </c>
      <c r="E7" s="6">
        <v>100000</v>
      </c>
      <c r="F7" s="6" t="s">
        <v>106</v>
      </c>
      <c r="G7" s="6">
        <f>表3[[#This Row],[面额]]*3.75</f>
        <v>375000</v>
      </c>
      <c r="H7" s="6">
        <v>99999999</v>
      </c>
      <c r="I7" s="6">
        <v>99999999</v>
      </c>
      <c r="J7" s="6">
        <f t="shared" si="0"/>
        <v>7</v>
      </c>
      <c r="K7" s="6">
        <f t="shared" si="1"/>
        <v>8</v>
      </c>
      <c r="L7" s="6">
        <v>1</v>
      </c>
      <c r="M7" s="6" t="s">
        <v>78</v>
      </c>
    </row>
    <row r="8" spans="1:13" x14ac:dyDescent="0.15">
      <c r="A8" s="6">
        <f>IF(AND(表3[[#This Row],[所属分页]]=B7,表3[[#This Row],[子类型]]=C7),A7+1,表3[[#This Row],[所属分页]]*1000+表3[[#This Row],[子类型]]*10+1)</f>
        <v>1015</v>
      </c>
      <c r="B8" s="6">
        <v>1</v>
      </c>
      <c r="C8" s="6">
        <v>1</v>
      </c>
      <c r="D8" s="6" t="s">
        <v>72</v>
      </c>
      <c r="E8" s="6">
        <v>200000</v>
      </c>
      <c r="F8" s="6" t="s">
        <v>106</v>
      </c>
      <c r="G8" s="6">
        <f>表3[[#This Row],[面额]]*3.75</f>
        <v>750000</v>
      </c>
      <c r="H8" s="6">
        <v>99999999</v>
      </c>
      <c r="I8" s="6">
        <v>99999999</v>
      </c>
      <c r="J8" s="6">
        <f t="shared" si="0"/>
        <v>9</v>
      </c>
      <c r="K8" s="6">
        <f t="shared" si="1"/>
        <v>10</v>
      </c>
      <c r="L8" s="6">
        <v>1</v>
      </c>
      <c r="M8" s="6" t="s">
        <v>79</v>
      </c>
    </row>
    <row r="9" spans="1:13" x14ac:dyDescent="0.15">
      <c r="A9" s="6">
        <f>IF(AND(表3[[#This Row],[所属分页]]=B8,表3[[#This Row],[子类型]]=C8),A8+1,表3[[#This Row],[所属分页]]*1000+表3[[#This Row],[子类型]]*10+1)</f>
        <v>1016</v>
      </c>
      <c r="B9" s="6">
        <v>1</v>
      </c>
      <c r="C9" s="6">
        <v>1</v>
      </c>
      <c r="D9" s="6" t="s">
        <v>63</v>
      </c>
      <c r="E9" s="6">
        <v>500000</v>
      </c>
      <c r="F9" s="6" t="s">
        <v>106</v>
      </c>
      <c r="G9" s="6">
        <f>表3[[#This Row],[面额]]*3.75</f>
        <v>1875000</v>
      </c>
      <c r="H9" s="6">
        <v>99999999</v>
      </c>
      <c r="I9" s="6">
        <v>99999999</v>
      </c>
      <c r="J9" s="6">
        <f t="shared" si="0"/>
        <v>11</v>
      </c>
      <c r="K9" s="6">
        <f t="shared" si="1"/>
        <v>12</v>
      </c>
      <c r="L9" s="6">
        <v>1</v>
      </c>
      <c r="M9" s="6" t="s">
        <v>80</v>
      </c>
    </row>
    <row r="10" spans="1:13" x14ac:dyDescent="0.15">
      <c r="A10" s="6">
        <f>IF(AND(表3[[#This Row],[所属分页]]=B9,表3[[#This Row],[子类型]]=C9),A9+1,表3[[#This Row],[所属分页]]*1000+表3[[#This Row],[子类型]]*10+1)</f>
        <v>1021</v>
      </c>
      <c r="B10" s="6">
        <v>1</v>
      </c>
      <c r="C10" s="6">
        <v>2</v>
      </c>
      <c r="D10" s="6" t="s">
        <v>58</v>
      </c>
      <c r="E10" s="6">
        <v>10000</v>
      </c>
      <c r="F10" s="6" t="s">
        <v>107</v>
      </c>
      <c r="G10" s="6">
        <f>表3[[#This Row],[面额]]*3.75</f>
        <v>37500</v>
      </c>
      <c r="H10" s="6">
        <v>99999999</v>
      </c>
      <c r="I10" s="6">
        <v>99999999</v>
      </c>
      <c r="J10" s="6">
        <f t="shared" si="0"/>
        <v>13</v>
      </c>
      <c r="K10" s="6">
        <f t="shared" si="1"/>
        <v>14</v>
      </c>
      <c r="L10" s="6">
        <v>1</v>
      </c>
      <c r="M10" s="6" t="s">
        <v>81</v>
      </c>
    </row>
    <row r="11" spans="1:13" x14ac:dyDescent="0.15">
      <c r="A11" s="6">
        <f>IF(AND(表3[[#This Row],[所属分页]]=B10,表3[[#This Row],[子类型]]=C10),A10+1,表3[[#This Row],[所属分页]]*1000+表3[[#This Row],[子类型]]*10+1)</f>
        <v>1022</v>
      </c>
      <c r="B11" s="6">
        <v>1</v>
      </c>
      <c r="C11" s="6">
        <v>2</v>
      </c>
      <c r="D11" s="6" t="s">
        <v>59</v>
      </c>
      <c r="E11" s="6">
        <v>20000</v>
      </c>
      <c r="F11" s="6" t="s">
        <v>107</v>
      </c>
      <c r="G11" s="6">
        <f>表3[[#This Row],[面额]]*3.75</f>
        <v>75000</v>
      </c>
      <c r="H11" s="6">
        <v>99999999</v>
      </c>
      <c r="I11" s="6">
        <v>99999999</v>
      </c>
      <c r="J11" s="6">
        <f t="shared" si="0"/>
        <v>15</v>
      </c>
      <c r="K11" s="6">
        <f t="shared" si="1"/>
        <v>16</v>
      </c>
      <c r="L11" s="6">
        <v>1</v>
      </c>
      <c r="M11" s="6" t="s">
        <v>82</v>
      </c>
    </row>
    <row r="12" spans="1:13" x14ac:dyDescent="0.15">
      <c r="A12" s="6">
        <f>IF(AND(表3[[#This Row],[所属分页]]=B11,表3[[#This Row],[子类型]]=C11),A11+1,表3[[#This Row],[所属分页]]*1000+表3[[#This Row],[子类型]]*10+1)</f>
        <v>1023</v>
      </c>
      <c r="B12" s="6">
        <v>1</v>
      </c>
      <c r="C12" s="6">
        <v>2</v>
      </c>
      <c r="D12" s="6" t="s">
        <v>70</v>
      </c>
      <c r="E12" s="6">
        <v>50000</v>
      </c>
      <c r="F12" s="6" t="s">
        <v>107</v>
      </c>
      <c r="G12" s="6">
        <f>表3[[#This Row],[面额]]*3.75</f>
        <v>187500</v>
      </c>
      <c r="H12" s="6">
        <v>99999999</v>
      </c>
      <c r="I12" s="6">
        <v>99999999</v>
      </c>
      <c r="J12" s="6">
        <f t="shared" si="0"/>
        <v>17</v>
      </c>
      <c r="K12" s="6">
        <f t="shared" si="1"/>
        <v>18</v>
      </c>
      <c r="L12" s="6">
        <v>1</v>
      </c>
      <c r="M12" s="6" t="s">
        <v>83</v>
      </c>
    </row>
    <row r="13" spans="1:13" x14ac:dyDescent="0.15">
      <c r="A13" s="6">
        <f>IF(AND(表3[[#This Row],[所属分页]]=B12,表3[[#This Row],[子类型]]=C12),A12+1,表3[[#This Row],[所属分页]]*1000+表3[[#This Row],[子类型]]*10+1)</f>
        <v>1024</v>
      </c>
      <c r="B13" s="6">
        <v>1</v>
      </c>
      <c r="C13" s="6">
        <v>2</v>
      </c>
      <c r="D13" s="6" t="s">
        <v>71</v>
      </c>
      <c r="E13" s="6">
        <v>100000</v>
      </c>
      <c r="F13" s="6" t="s">
        <v>107</v>
      </c>
      <c r="G13" s="6">
        <f>表3[[#This Row],[面额]]*3.75</f>
        <v>375000</v>
      </c>
      <c r="H13" s="6">
        <v>99999999</v>
      </c>
      <c r="I13" s="6">
        <v>99999999</v>
      </c>
      <c r="J13" s="6">
        <f t="shared" si="0"/>
        <v>19</v>
      </c>
      <c r="K13" s="6">
        <f t="shared" si="1"/>
        <v>20</v>
      </c>
      <c r="L13" s="6">
        <v>1</v>
      </c>
      <c r="M13" s="6" t="s">
        <v>84</v>
      </c>
    </row>
    <row r="14" spans="1:13" x14ac:dyDescent="0.15">
      <c r="A14" s="6">
        <f>IF(AND(表3[[#This Row],[所属分页]]=B13,表3[[#This Row],[子类型]]=C13),A13+1,表3[[#This Row],[所属分页]]*1000+表3[[#This Row],[子类型]]*10+1)</f>
        <v>1025</v>
      </c>
      <c r="B14" s="6">
        <v>1</v>
      </c>
      <c r="C14" s="6">
        <v>2</v>
      </c>
      <c r="D14" s="6" t="s">
        <v>72</v>
      </c>
      <c r="E14" s="6">
        <v>200000</v>
      </c>
      <c r="F14" s="6" t="s">
        <v>107</v>
      </c>
      <c r="G14" s="6">
        <f>表3[[#This Row],[面额]]*3.75</f>
        <v>750000</v>
      </c>
      <c r="H14" s="6">
        <v>99999999</v>
      </c>
      <c r="I14" s="6">
        <v>99999999</v>
      </c>
      <c r="J14" s="6">
        <f t="shared" si="0"/>
        <v>21</v>
      </c>
      <c r="K14" s="6">
        <f t="shared" si="1"/>
        <v>22</v>
      </c>
      <c r="L14" s="6">
        <v>1</v>
      </c>
      <c r="M14" s="6" t="s">
        <v>85</v>
      </c>
    </row>
    <row r="15" spans="1:13" x14ac:dyDescent="0.15">
      <c r="A15" s="6">
        <f>IF(AND(表3[[#This Row],[所属分页]]=B14,表3[[#This Row],[子类型]]=C14),A14+1,表3[[#This Row],[所属分页]]*1000+表3[[#This Row],[子类型]]*10+1)</f>
        <v>1026</v>
      </c>
      <c r="B15" s="6">
        <v>1</v>
      </c>
      <c r="C15" s="6">
        <v>2</v>
      </c>
      <c r="D15" s="6" t="s">
        <v>63</v>
      </c>
      <c r="E15" s="6">
        <v>500000</v>
      </c>
      <c r="F15" s="6" t="s">
        <v>107</v>
      </c>
      <c r="G15" s="6">
        <f>表3[[#This Row],[面额]]*3.75</f>
        <v>1875000</v>
      </c>
      <c r="H15" s="6">
        <v>99999999</v>
      </c>
      <c r="I15" s="6">
        <v>99999999</v>
      </c>
      <c r="J15" s="6">
        <f t="shared" si="0"/>
        <v>23</v>
      </c>
      <c r="K15" s="6">
        <f t="shared" si="1"/>
        <v>24</v>
      </c>
      <c r="L15" s="6">
        <v>1</v>
      </c>
      <c r="M15" s="6" t="s">
        <v>86</v>
      </c>
    </row>
    <row r="16" spans="1:13" x14ac:dyDescent="0.15">
      <c r="A16" s="6">
        <f>IF(AND(表3[[#This Row],[所属分页]]=B15,表3[[#This Row],[子类型]]=C15),A15+1,表3[[#This Row],[所属分页]]*1000+表3[[#This Row],[子类型]]*10+1)</f>
        <v>1031</v>
      </c>
      <c r="B16" s="6">
        <v>1</v>
      </c>
      <c r="C16" s="6">
        <v>3</v>
      </c>
      <c r="D16" s="6" t="s">
        <v>58</v>
      </c>
      <c r="E16" s="6">
        <v>10000</v>
      </c>
      <c r="F16" s="6" t="s">
        <v>108</v>
      </c>
      <c r="G16" s="6">
        <f>表3[[#This Row],[面额]]*3.75</f>
        <v>37500</v>
      </c>
      <c r="H16" s="6">
        <v>99999999</v>
      </c>
      <c r="I16" s="6">
        <v>99999999</v>
      </c>
      <c r="J16" s="6">
        <f t="shared" si="0"/>
        <v>25</v>
      </c>
      <c r="K16" s="6">
        <f t="shared" si="1"/>
        <v>26</v>
      </c>
      <c r="L16" s="6">
        <v>1</v>
      </c>
      <c r="M16" s="6" t="s">
        <v>87</v>
      </c>
    </row>
    <row r="17" spans="1:13" x14ac:dyDescent="0.15">
      <c r="A17" s="6">
        <f>IF(AND(表3[[#This Row],[所属分页]]=B16,表3[[#This Row],[子类型]]=C16),A16+1,表3[[#This Row],[所属分页]]*1000+表3[[#This Row],[子类型]]*10+1)</f>
        <v>1032</v>
      </c>
      <c r="B17" s="6">
        <v>1</v>
      </c>
      <c r="C17" s="6">
        <v>3</v>
      </c>
      <c r="D17" s="6" t="s">
        <v>59</v>
      </c>
      <c r="E17" s="6">
        <v>20000</v>
      </c>
      <c r="F17" s="6" t="s">
        <v>108</v>
      </c>
      <c r="G17" s="6">
        <f>表3[[#This Row],[面额]]*3.75</f>
        <v>75000</v>
      </c>
      <c r="H17" s="6">
        <v>99999999</v>
      </c>
      <c r="I17" s="6">
        <v>99999999</v>
      </c>
      <c r="J17" s="6">
        <f t="shared" si="0"/>
        <v>27</v>
      </c>
      <c r="K17" s="6">
        <f t="shared" si="1"/>
        <v>28</v>
      </c>
      <c r="L17" s="6">
        <v>1</v>
      </c>
      <c r="M17" s="6" t="s">
        <v>88</v>
      </c>
    </row>
    <row r="18" spans="1:13" x14ac:dyDescent="0.15">
      <c r="A18" s="6">
        <f>IF(AND(表3[[#This Row],[所属分页]]=B17,表3[[#This Row],[子类型]]=C17),A17+1,表3[[#This Row],[所属分页]]*1000+表3[[#This Row],[子类型]]*10+1)</f>
        <v>1033</v>
      </c>
      <c r="B18" s="6">
        <v>1</v>
      </c>
      <c r="C18" s="6">
        <v>3</v>
      </c>
      <c r="D18" s="6" t="s">
        <v>70</v>
      </c>
      <c r="E18" s="6">
        <v>50000</v>
      </c>
      <c r="F18" s="6" t="s">
        <v>108</v>
      </c>
      <c r="G18" s="6">
        <f>表3[[#This Row],[面额]]*3.75</f>
        <v>187500</v>
      </c>
      <c r="H18" s="6">
        <v>99999999</v>
      </c>
      <c r="I18" s="6">
        <v>99999999</v>
      </c>
      <c r="J18" s="6">
        <f t="shared" si="0"/>
        <v>29</v>
      </c>
      <c r="K18" s="6">
        <f t="shared" si="1"/>
        <v>30</v>
      </c>
      <c r="L18" s="6">
        <v>1</v>
      </c>
      <c r="M18" s="6" t="s">
        <v>89</v>
      </c>
    </row>
    <row r="19" spans="1:13" x14ac:dyDescent="0.15">
      <c r="A19" s="6">
        <f>IF(AND(表3[[#This Row],[所属分页]]=B18,表3[[#This Row],[子类型]]=C18),A18+1,表3[[#This Row],[所属分页]]*1000+表3[[#This Row],[子类型]]*10+1)</f>
        <v>1034</v>
      </c>
      <c r="B19" s="6">
        <v>1</v>
      </c>
      <c r="C19" s="6">
        <v>3</v>
      </c>
      <c r="D19" s="6" t="s">
        <v>71</v>
      </c>
      <c r="E19" s="6">
        <v>100000</v>
      </c>
      <c r="F19" s="6" t="s">
        <v>108</v>
      </c>
      <c r="G19" s="6">
        <f>表3[[#This Row],[面额]]*3.75</f>
        <v>375000</v>
      </c>
      <c r="H19" s="6">
        <v>99999999</v>
      </c>
      <c r="I19" s="6">
        <v>99999999</v>
      </c>
      <c r="J19" s="6">
        <f t="shared" si="0"/>
        <v>31</v>
      </c>
      <c r="K19" s="6">
        <f t="shared" si="1"/>
        <v>32</v>
      </c>
      <c r="L19" s="6">
        <v>1</v>
      </c>
      <c r="M19" s="6" t="s">
        <v>90</v>
      </c>
    </row>
    <row r="20" spans="1:13" x14ac:dyDescent="0.15">
      <c r="A20" s="6">
        <f>IF(AND(表3[[#This Row],[所属分页]]=B19,表3[[#This Row],[子类型]]=C19),A19+1,表3[[#This Row],[所属分页]]*1000+表3[[#This Row],[子类型]]*10+1)</f>
        <v>1035</v>
      </c>
      <c r="B20" s="6">
        <v>1</v>
      </c>
      <c r="C20" s="6">
        <v>3</v>
      </c>
      <c r="D20" s="6" t="s">
        <v>72</v>
      </c>
      <c r="E20" s="6">
        <v>200000</v>
      </c>
      <c r="F20" s="6" t="s">
        <v>108</v>
      </c>
      <c r="G20" s="6">
        <f>表3[[#This Row],[面额]]*3.75</f>
        <v>750000</v>
      </c>
      <c r="H20" s="6">
        <v>99999999</v>
      </c>
      <c r="I20" s="6">
        <v>99999999</v>
      </c>
      <c r="J20" s="6">
        <f t="shared" si="0"/>
        <v>33</v>
      </c>
      <c r="K20" s="6">
        <f t="shared" si="1"/>
        <v>34</v>
      </c>
      <c r="L20" s="6">
        <v>1</v>
      </c>
      <c r="M20" s="6" t="s">
        <v>91</v>
      </c>
    </row>
    <row r="21" spans="1:13" x14ac:dyDescent="0.15">
      <c r="A21" s="6">
        <f>IF(AND(表3[[#This Row],[所属分页]]=B20,表3[[#This Row],[子类型]]=C20),A20+1,表3[[#This Row],[所属分页]]*1000+表3[[#This Row],[子类型]]*10+1)</f>
        <v>1036</v>
      </c>
      <c r="B21" s="6">
        <v>1</v>
      </c>
      <c r="C21" s="6">
        <v>3</v>
      </c>
      <c r="D21" s="6" t="s">
        <v>63</v>
      </c>
      <c r="E21" s="6">
        <v>500000</v>
      </c>
      <c r="F21" s="6" t="s">
        <v>108</v>
      </c>
      <c r="G21" s="6">
        <f>表3[[#This Row],[面额]]*3.75</f>
        <v>1875000</v>
      </c>
      <c r="H21" s="6">
        <v>99999999</v>
      </c>
      <c r="I21" s="6">
        <v>99999999</v>
      </c>
      <c r="J21" s="6">
        <f t="shared" si="0"/>
        <v>35</v>
      </c>
      <c r="K21" s="6">
        <f t="shared" si="1"/>
        <v>36</v>
      </c>
      <c r="L21" s="6">
        <v>1</v>
      </c>
      <c r="M21" s="6" t="s">
        <v>92</v>
      </c>
    </row>
    <row r="22" spans="1:13" x14ac:dyDescent="0.15">
      <c r="A22" s="6">
        <f>IF(AND(表3[[#This Row],[所属分页]]=B21,表3[[#This Row],[子类型]]=C21),A21+1,表3[[#This Row],[所属分页]]*1000+表3[[#This Row],[子类型]]*10+1)</f>
        <v>2001</v>
      </c>
      <c r="B22" s="6">
        <v>2</v>
      </c>
      <c r="C22" s="6">
        <v>0</v>
      </c>
      <c r="D22" s="6" t="s">
        <v>93</v>
      </c>
      <c r="E22" s="6">
        <v>0</v>
      </c>
      <c r="F22" s="6"/>
      <c r="G22" s="6">
        <v>99999999</v>
      </c>
      <c r="H22" s="6">
        <v>100</v>
      </c>
      <c r="I22" s="6">
        <v>1000</v>
      </c>
      <c r="J22" s="6">
        <f t="shared" si="0"/>
        <v>37</v>
      </c>
      <c r="K22" s="6">
        <f t="shared" si="1"/>
        <v>38</v>
      </c>
      <c r="L22" s="6">
        <v>1</v>
      </c>
      <c r="M22" s="6" t="s">
        <v>97</v>
      </c>
    </row>
    <row r="23" spans="1:13" x14ac:dyDescent="0.15">
      <c r="A23" s="6">
        <f>IF(AND(表3[[#This Row],[所属分页]]=B22,表3[[#This Row],[子类型]]=C22),A22+1,表3[[#This Row],[所属分页]]*1000+表3[[#This Row],[子类型]]*10+1)</f>
        <v>2002</v>
      </c>
      <c r="B23" s="6">
        <v>2</v>
      </c>
      <c r="C23" s="6">
        <v>0</v>
      </c>
      <c r="D23" s="6" t="s">
        <v>94</v>
      </c>
      <c r="E23" s="6">
        <v>0</v>
      </c>
      <c r="F23" s="6"/>
      <c r="G23" s="6">
        <v>99999999</v>
      </c>
      <c r="H23" s="6">
        <v>100</v>
      </c>
      <c r="I23" s="6">
        <v>1000</v>
      </c>
      <c r="J23" s="6">
        <f t="shared" si="0"/>
        <v>39</v>
      </c>
      <c r="K23" s="6">
        <f t="shared" si="1"/>
        <v>40</v>
      </c>
      <c r="L23" s="6">
        <v>1</v>
      </c>
      <c r="M23" s="6" t="s">
        <v>98</v>
      </c>
    </row>
    <row r="24" spans="1:13" x14ac:dyDescent="0.15">
      <c r="A24" s="6">
        <f>IF(AND(表3[[#This Row],[所属分页]]=B23,表3[[#This Row],[子类型]]=C23),A23+1,表3[[#This Row],[所属分页]]*1000+表3[[#This Row],[子类型]]*10+1)</f>
        <v>2003</v>
      </c>
      <c r="B24" s="6">
        <v>2</v>
      </c>
      <c r="C24" s="6">
        <v>0</v>
      </c>
      <c r="D24" s="6" t="s">
        <v>95</v>
      </c>
      <c r="E24" s="6">
        <v>0</v>
      </c>
      <c r="F24" s="6"/>
      <c r="G24" s="6">
        <v>99999999</v>
      </c>
      <c r="H24" s="6">
        <v>100</v>
      </c>
      <c r="I24" s="6">
        <v>1000</v>
      </c>
      <c r="J24" s="6">
        <f t="shared" si="0"/>
        <v>41</v>
      </c>
      <c r="K24" s="6">
        <f t="shared" si="1"/>
        <v>42</v>
      </c>
      <c r="L24" s="6">
        <v>1</v>
      </c>
      <c r="M24" s="6" t="s">
        <v>99</v>
      </c>
    </row>
    <row r="25" spans="1:13" x14ac:dyDescent="0.15">
      <c r="A25" s="6">
        <f>IF(AND(表3[[#This Row],[所属分页]]=B24,表3[[#This Row],[子类型]]=C24),A24+1,表3[[#This Row],[所属分页]]*1000+表3[[#This Row],[子类型]]*10+1)</f>
        <v>2004</v>
      </c>
      <c r="B25" s="6">
        <v>2</v>
      </c>
      <c r="C25" s="6">
        <v>0</v>
      </c>
      <c r="D25" s="6" t="s">
        <v>96</v>
      </c>
      <c r="E25" s="6">
        <v>0</v>
      </c>
      <c r="F25" s="6"/>
      <c r="G25" s="6">
        <v>99999999</v>
      </c>
      <c r="H25" s="6">
        <v>100</v>
      </c>
      <c r="I25" s="6">
        <v>1000</v>
      </c>
      <c r="J25" s="6">
        <f t="shared" si="0"/>
        <v>43</v>
      </c>
      <c r="K25" s="6">
        <f t="shared" si="1"/>
        <v>44</v>
      </c>
      <c r="L25" s="6">
        <v>1</v>
      </c>
      <c r="M25" s="6" t="s">
        <v>100</v>
      </c>
    </row>
    <row r="26" spans="1:13" x14ac:dyDescent="0.15">
      <c r="A26" s="6">
        <f>IF(AND(表3[[#This Row],[所属分页]]=B25,表3[[#This Row],[子类型]]=C25),A25+1,表3[[#This Row],[所属分页]]*1000+表3[[#This Row],[子类型]]*10+1)</f>
        <v>2005</v>
      </c>
      <c r="B26" s="6">
        <v>2</v>
      </c>
      <c r="C26" s="6">
        <v>0</v>
      </c>
      <c r="D26" s="6" t="s">
        <v>96</v>
      </c>
      <c r="E26" s="6">
        <v>0</v>
      </c>
      <c r="F26" s="6"/>
      <c r="G26" s="6">
        <v>99999999</v>
      </c>
      <c r="H26" s="6">
        <v>100</v>
      </c>
      <c r="I26" s="6">
        <v>1000</v>
      </c>
      <c r="J26" s="6">
        <f t="shared" si="0"/>
        <v>45</v>
      </c>
      <c r="K26" s="6">
        <f t="shared" si="1"/>
        <v>46</v>
      </c>
      <c r="L26" s="6">
        <v>1</v>
      </c>
      <c r="M26" s="6" t="s">
        <v>100</v>
      </c>
    </row>
    <row r="27" spans="1:13" x14ac:dyDescent="0.15">
      <c r="A27" s="6">
        <f>IF(AND(表3[[#This Row],[所属分页]]=B26,表3[[#This Row],[子类型]]=C26),A26+1,表3[[#This Row],[所属分页]]*1000+表3[[#This Row],[子类型]]*10+1)</f>
        <v>3001</v>
      </c>
      <c r="B27" s="6">
        <v>3</v>
      </c>
      <c r="C27" s="6">
        <v>0</v>
      </c>
      <c r="D27" s="6" t="s">
        <v>66</v>
      </c>
      <c r="E27" s="6">
        <v>0</v>
      </c>
      <c r="F27" s="6"/>
      <c r="G27" s="6">
        <v>1000</v>
      </c>
      <c r="H27" s="6">
        <v>100</v>
      </c>
      <c r="I27" s="6">
        <v>1000</v>
      </c>
      <c r="J27" s="15">
        <f t="shared" ref="J27:J32" si="2">(ROW()-4)*2+1</f>
        <v>47</v>
      </c>
      <c r="K27" s="15">
        <f t="shared" ref="K27:K32" si="3">(ROW()-3)*2</f>
        <v>48</v>
      </c>
      <c r="L27" s="6">
        <v>0</v>
      </c>
      <c r="M27" s="6"/>
    </row>
    <row r="28" spans="1:13" x14ac:dyDescent="0.15">
      <c r="A28" s="6">
        <f>IF(AND(表3[[#This Row],[所属分页]]=B27,表3[[#This Row],[子类型]]=C27),A27+1,表3[[#This Row],[所属分页]]*1000+表3[[#This Row],[子类型]]*10+1)</f>
        <v>3002</v>
      </c>
      <c r="B28" s="6">
        <v>3</v>
      </c>
      <c r="C28" s="6">
        <v>0</v>
      </c>
      <c r="D28" s="6" t="s">
        <v>110</v>
      </c>
      <c r="E28" s="6">
        <v>0</v>
      </c>
      <c r="F28" s="6"/>
      <c r="G28" s="6">
        <v>500</v>
      </c>
      <c r="H28" s="6">
        <v>100</v>
      </c>
      <c r="I28" s="6">
        <v>1000</v>
      </c>
      <c r="J28" s="15">
        <f t="shared" si="2"/>
        <v>49</v>
      </c>
      <c r="K28" s="15">
        <f t="shared" si="3"/>
        <v>50</v>
      </c>
      <c r="L28" s="6">
        <v>0</v>
      </c>
      <c r="M28" s="6"/>
    </row>
    <row r="29" spans="1:13" x14ac:dyDescent="0.15">
      <c r="A29" s="6">
        <f>IF(AND(表3[[#This Row],[所属分页]]=B28,表3[[#This Row],[子类型]]=C28),A28+1,表3[[#This Row],[所属分页]]*1000+表3[[#This Row],[子类型]]*10+1)</f>
        <v>3003</v>
      </c>
      <c r="B29" s="6">
        <v>3</v>
      </c>
      <c r="C29" s="6">
        <v>0</v>
      </c>
      <c r="D29" s="6" t="s">
        <v>67</v>
      </c>
      <c r="E29" s="6">
        <v>0</v>
      </c>
      <c r="F29" s="6"/>
      <c r="G29" s="6">
        <v>500</v>
      </c>
      <c r="H29" s="6">
        <v>100</v>
      </c>
      <c r="I29" s="6">
        <v>1000</v>
      </c>
      <c r="J29" s="15">
        <f t="shared" si="2"/>
        <v>51</v>
      </c>
      <c r="K29" s="15">
        <f t="shared" si="3"/>
        <v>52</v>
      </c>
      <c r="L29" s="6">
        <v>0</v>
      </c>
      <c r="M29" s="6"/>
    </row>
    <row r="30" spans="1:13" x14ac:dyDescent="0.15">
      <c r="A30" s="6">
        <f>IF(AND(表3[[#This Row],[所属分页]]=B29,表3[[#This Row],[子类型]]=C29),A29+1,表3[[#This Row],[所属分页]]*1000+表3[[#This Row],[子类型]]*10+1)</f>
        <v>3004</v>
      </c>
      <c r="B30" s="6">
        <v>3</v>
      </c>
      <c r="C30" s="6">
        <v>0</v>
      </c>
      <c r="D30" s="6" t="s">
        <v>64</v>
      </c>
      <c r="E30" s="6">
        <v>0</v>
      </c>
      <c r="F30" s="6"/>
      <c r="G30" s="6">
        <v>10000</v>
      </c>
      <c r="H30" s="6">
        <v>100</v>
      </c>
      <c r="I30" s="6">
        <v>1000</v>
      </c>
      <c r="J30" s="15">
        <f t="shared" si="2"/>
        <v>53</v>
      </c>
      <c r="K30" s="15">
        <f t="shared" si="3"/>
        <v>54</v>
      </c>
      <c r="L30" s="6">
        <v>0</v>
      </c>
      <c r="M30" s="6"/>
    </row>
    <row r="31" spans="1:13" x14ac:dyDescent="0.15">
      <c r="A31" s="6">
        <f>IF(AND(表3[[#This Row],[所属分页]]=B30,表3[[#This Row],[子类型]]=C30),A30+1,表3[[#This Row],[所属分页]]*1000+表3[[#This Row],[子类型]]*10+1)</f>
        <v>3005</v>
      </c>
      <c r="B31" s="6">
        <v>3</v>
      </c>
      <c r="C31" s="6">
        <v>0</v>
      </c>
      <c r="D31" s="6" t="s">
        <v>111</v>
      </c>
      <c r="E31" s="6">
        <v>0</v>
      </c>
      <c r="F31" s="6"/>
      <c r="G31" s="6">
        <v>5000</v>
      </c>
      <c r="H31" s="6">
        <v>100</v>
      </c>
      <c r="I31" s="6">
        <v>1000</v>
      </c>
      <c r="J31" s="15">
        <f t="shared" si="2"/>
        <v>55</v>
      </c>
      <c r="K31" s="15">
        <f t="shared" si="3"/>
        <v>56</v>
      </c>
      <c r="L31" s="6">
        <v>0</v>
      </c>
      <c r="M31" s="6"/>
    </row>
    <row r="32" spans="1:13" x14ac:dyDescent="0.15">
      <c r="A32" s="6">
        <f>IF(AND(表3[[#This Row],[所属分页]]=B31,表3[[#This Row],[子类型]]=C31),A31+1,表3[[#This Row],[所属分页]]*1000+表3[[#This Row],[子类型]]*10+1)</f>
        <v>3006</v>
      </c>
      <c r="B32" s="6">
        <v>3</v>
      </c>
      <c r="C32" s="6">
        <v>0</v>
      </c>
      <c r="D32" s="6" t="s">
        <v>65</v>
      </c>
      <c r="E32" s="6">
        <v>0</v>
      </c>
      <c r="F32" s="6"/>
      <c r="G32" s="6">
        <v>5000</v>
      </c>
      <c r="H32" s="6">
        <v>100</v>
      </c>
      <c r="I32" s="6">
        <v>1000</v>
      </c>
      <c r="J32" s="15">
        <f t="shared" si="2"/>
        <v>57</v>
      </c>
      <c r="K32" s="15">
        <f t="shared" si="3"/>
        <v>58</v>
      </c>
      <c r="L32" s="6">
        <v>0</v>
      </c>
      <c r="M32" s="6"/>
    </row>
  </sheetData>
  <phoneticPr fontId="5" type="noConversion"/>
  <dataValidations count="2">
    <dataValidation allowBlank="1" showInputMessage="1" showErrorMessage="1" promptTitle="0不重复" prompt="1重复" sqref="G3" xr:uid="{00000000-0002-0000-0100-000000000000}"/>
    <dataValidation allowBlank="1" showInputMessage="1" showErrorMessage="1" prompt="不要修改" sqref="J3:K3" xr:uid="{00000000-0002-0000-0100-000001000000}"/>
  </dataValidations>
  <pageMargins left="0.69930555555555596" right="0.69930555555555596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change_cfg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2017-12-08T02:02:22Z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2052-10.1.0.6206</vt:lpwstr>
  </property>
</Properties>
</file>