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1" xr2:uid="{00000000-000D-0000-FFFF-FFFF00000000}"/>
  </bookViews>
  <sheets>
    <sheet name="description" sheetId="1" r:id="rId1"/>
    <sheet name="const_cfg" sheetId="2" r:id="rId2"/>
    <sheet name="mathadjust_const_cfg" sheetId="3" r:id="rId3"/>
    <sheet name="log_const_cfg" sheetId="4" r:id="rId4"/>
  </sheets>
  <functionGroups builtInGroupCount="19"/>
  <calcPr calcId="171027"/>
</workbook>
</file>

<file path=xl/calcChain.xml><?xml version="1.0" encoding="utf-8"?>
<calcChain xmlns="http://schemas.openxmlformats.org/spreadsheetml/2006/main">
  <c r="I4" i="3" l="1"/>
</calcChain>
</file>

<file path=xl/sharedStrings.xml><?xml version="1.0" encoding="utf-8"?>
<sst xmlns="http://schemas.openxmlformats.org/spreadsheetml/2006/main" count="347" uniqueCount="241">
  <si>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</si>
  <si>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</si>
  <si>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</si>
  <si>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</si>
  <si>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</si>
  <si>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</si>
  <si>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</si>
  <si>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</si>
  <si>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</si>
  <si>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</si>
  <si>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</si>
  <si>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</si>
  <si>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</si>
  <si>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</si>
  <si>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</si>
  <si>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</si>
  <si>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</si>
  <si>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</si>
  <si>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</si>
  <si>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</si>
  <si>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</si>
  <si>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</si>
  <si>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</si>
  <si>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</si>
  <si>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</si>
  <si>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</si>
  <si>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</si>
  <si>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</si>
  <si>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</si>
  <si>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</si>
  <si>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</si>
  <si>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</si>
  <si>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</si>
  <si>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</si>
  <si>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</si>
  <si>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</si>
  <si>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</si>
  <si>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</si>
  <si>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</si>
  <si>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</si>
  <si>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</si>
  <si>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</si>
  <si>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int</t>
  </si>
  <si>
    <t>table</t>
  </si>
  <si>
    <t>float</t>
  </si>
  <si>
    <t>string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</si>
  <si>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</si>
  <si>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</si>
  <si>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</si>
  <si>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</si>
  <si>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</si>
  <si>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</si>
  <si>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</si>
  <si>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</si>
  <si>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</si>
  <si>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</si>
  <si>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</si>
  <si>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</si>
  <si>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</si>
  <si>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</si>
  <si>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</si>
  <si>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</si>
  <si>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</si>
  <si>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</si>
  <si>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</si>
  <si>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</si>
  <si>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</si>
  <si>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</si>
  <si>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</si>
  <si>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</si>
  <si>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</si>
  <si>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</si>
  <si>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</si>
  <si>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</si>
  <si>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</si>
  <si>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</si>
  <si>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</si>
  <si>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</si>
  <si>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[["i002",10],["i001",10000]]</t>
  </si>
  <si>
    <t>i500</t>
  </si>
  <si>
    <t>[40,60,80,100,120,140,160,180,200,220,240,260,300,300,300,300,300,300]</t>
  </si>
  <si>
    <t>A</t>
  </si>
  <si>
    <t>ROIPCT</t>
  </si>
  <si>
    <t>LONG</t>
  </si>
  <si>
    <t>RMAX</t>
  </si>
  <si>
    <t>RMIN</t>
  </si>
  <si>
    <t>NEWCOMERLV</t>
  </si>
  <si>
    <t>NEWCOMERPCT</t>
  </si>
  <si>
    <t>MAGMAUP</t>
  </si>
  <si>
    <t>PICHANGE</t>
  </si>
  <si>
    <t>DIVERGE</t>
  </si>
  <si>
    <t>DRATIO</t>
  </si>
  <si>
    <t>HEARTMAX</t>
  </si>
  <si>
    <t>HRATIO</t>
  </si>
  <si>
    <t>extract</t>
  </si>
  <si>
    <t>time1</t>
  </si>
  <si>
    <t>addvalue</t>
  </si>
  <si>
    <t>time2</t>
  </si>
  <si>
    <t>reducevalue</t>
  </si>
  <si>
    <t>time3</t>
  </si>
  <si>
    <t>roiPCT参数</t>
  </si>
  <si>
    <t>roiPCT倍率</t>
  </si>
  <si>
    <t>roiPCT时间秒</t>
  </si>
  <si>
    <t>参数</t>
  </si>
  <si>
    <t>参数1</t>
  </si>
  <si>
    <t>新手保护等级</t>
  </si>
  <si>
    <t>新手保护几率</t>
  </si>
  <si>
    <t>火焰旋涡</t>
  </si>
  <si>
    <t>弧度转化,圆周率/180°扩大6倍</t>
  </si>
  <si>
    <t>偏振常数</t>
  </si>
  <si>
    <t>偏振系数</t>
  </si>
  <si>
    <t>心跳上限</t>
  </si>
  <si>
    <t>心跳+1需要金币系数</t>
  </si>
  <si>
    <t>抽水</t>
  </si>
  <si>
    <t>重置间隔</t>
  </si>
  <si>
    <t>出分加成</t>
  </si>
  <si>
    <t>出分时长</t>
  </si>
  <si>
    <t>吃分加成</t>
  </si>
  <si>
    <t>吃分时长</t>
  </si>
  <si>
    <t>LOGIN</t>
  </si>
  <si>
    <t>MODE_SELECTING</t>
  </si>
  <si>
    <t>GAME_FIGHTING</t>
  </si>
  <si>
    <t>STORE</t>
  </si>
  <si>
    <t>MINI_GAME</t>
  </si>
  <si>
    <t>BROKE_GAIN</t>
  </si>
  <si>
    <t>ALL</t>
  </si>
  <si>
    <t>WEAPON_UNLOCK</t>
  </si>
  <si>
    <t>SKILL_BUY</t>
  </si>
  <si>
    <t>CHAPTER_BUY</t>
  </si>
  <si>
    <t>GOLDFISH_GAIN</t>
  </si>
  <si>
    <t>DAILY_GAIN</t>
  </si>
  <si>
    <t>ACHIEVE_GAIN</t>
  </si>
  <si>
    <t>PIRATE_GAIN</t>
  </si>
  <si>
    <t>FIGHT_DROP</t>
  </si>
  <si>
    <t>VIPGIFT_BUY</t>
  </si>
  <si>
    <t>TIMEGIFT_BUY</t>
  </si>
  <si>
    <t>GOLD_BUY</t>
  </si>
  <si>
    <t>SKIN_BUY</t>
  </si>
  <si>
    <t>GOD_CHALLENGE</t>
  </si>
  <si>
    <t>GOD_UNLOCK</t>
  </si>
  <si>
    <t>GOD_UPGRADE</t>
  </si>
  <si>
    <t>BE_STOLEND</t>
  </si>
  <si>
    <t>PET_FISH_UPGRADE</t>
  </si>
  <si>
    <t>SYNTHESIS</t>
  </si>
  <si>
    <t>Pet_FISH_DROP</t>
  </si>
  <si>
    <t>NUCLER_DROP</t>
  </si>
  <si>
    <t>RMATCH_BOX</t>
  </si>
  <si>
    <t>登录界面</t>
  </si>
  <si>
    <t>模式选择界面</t>
  </si>
  <si>
    <t>游戏战斗场景</t>
  </si>
  <si>
    <t>商城充值</t>
  </si>
  <si>
    <t>小游戏</t>
  </si>
  <si>
    <t>破产领取</t>
  </si>
  <si>
    <t>所有场景</t>
  </si>
  <si>
    <t>武器解锁</t>
  </si>
  <si>
    <t>技能购买</t>
  </si>
  <si>
    <t>场景消耗</t>
  </si>
  <si>
    <t>奖金抽取</t>
  </si>
  <si>
    <t>日常领取</t>
  </si>
  <si>
    <t>成就领取</t>
  </si>
  <si>
    <t>海盗任务领取</t>
  </si>
  <si>
    <t>捕鱼掉落</t>
  </si>
  <si>
    <t>VIP礼包购买</t>
  </si>
  <si>
    <t>限时礼包</t>
  </si>
  <si>
    <t>商城金币购买</t>
  </si>
  <si>
    <t>皮肤购买</t>
  </si>
  <si>
    <t>保卫女神挑战</t>
  </si>
  <si>
    <t>女神解锁</t>
  </si>
  <si>
    <t>女神升级</t>
  </si>
  <si>
    <t>被偷取</t>
  </si>
  <si>
    <t>宠物鱼升级或者解锁</t>
  </si>
  <si>
    <t>合成</t>
  </si>
  <si>
    <t>宠物鱼领取奖励</t>
  </si>
  <si>
    <t>核弹领取奖励2</t>
  </si>
  <si>
    <t>排位赛开宝箱</t>
  </si>
  <si>
    <t>RMATCH_CHAT_COUNT</t>
    <phoneticPr fontId="8" type="noConversion"/>
  </si>
  <si>
    <t>int</t>
    <phoneticPr fontId="8" type="noConversion"/>
  </si>
  <si>
    <t>排位赛消息数量</t>
    <phoneticPr fontId="8" type="noConversion"/>
  </si>
  <si>
    <t>HORN_CD</t>
    <phoneticPr fontId="8" type="noConversion"/>
  </si>
  <si>
    <t>激光领取奖励</t>
    <phoneticPr fontId="8" type="noConversion"/>
  </si>
  <si>
    <t>NUCLER_LASER</t>
    <phoneticPr fontId="8" type="noConversion"/>
  </si>
  <si>
    <t>排行榜奖励</t>
    <phoneticPr fontId="8" type="noConversion"/>
  </si>
  <si>
    <t>CHARTS_REWARD</t>
    <phoneticPr fontId="8" type="noConversion"/>
  </si>
  <si>
    <t>ACTIVE_DRAW</t>
    <phoneticPr fontId="8" type="noConversion"/>
  </si>
  <si>
    <t>活动抽奖</t>
    <phoneticPr fontId="8" type="noConversion"/>
  </si>
  <si>
    <t>打赏奖励</t>
  </si>
  <si>
    <t>翻盘基金购买</t>
  </si>
  <si>
    <t>月签奖励和消耗(补签消耗钻石)</t>
  </si>
  <si>
    <t>分享奖励</t>
  </si>
  <si>
    <t>活动任务</t>
  </si>
  <si>
    <t>活动兑换</t>
  </si>
  <si>
    <t>活动充值回馈</t>
  </si>
  <si>
    <t>邀请好友</t>
  </si>
  <si>
    <t>开启礼盒</t>
  </si>
  <si>
    <t>月卡奖励</t>
  </si>
  <si>
    <t>REWARD_PEOPLE</t>
    <phoneticPr fontId="8" type="noConversion"/>
  </si>
  <si>
    <t>FUND_BUY</t>
    <phoneticPr fontId="8" type="noConversion"/>
  </si>
  <si>
    <t>MONTH_SIGN_REWARD</t>
    <phoneticPr fontId="8" type="noConversion"/>
  </si>
  <si>
    <t>SHARE_REWARD</t>
    <phoneticPr fontId="8" type="noConversion"/>
  </si>
  <si>
    <t>ACTIVE_QUEST</t>
    <phoneticPr fontId="8" type="noConversion"/>
  </si>
  <si>
    <t>ACTIVE_EXCHANGE</t>
    <phoneticPr fontId="8" type="noConversion"/>
  </si>
  <si>
    <t>ACTIVE_CHARGE</t>
    <phoneticPr fontId="8" type="noConversion"/>
  </si>
  <si>
    <t>INVITE_REWARD</t>
    <phoneticPr fontId="8" type="noConversion"/>
  </si>
  <si>
    <t>BOX_REWARD</t>
    <phoneticPr fontId="8" type="noConversion"/>
  </si>
  <si>
    <t>FIRST_BUY</t>
    <phoneticPr fontId="8" type="noConversion"/>
  </si>
  <si>
    <t>CARD_REWARD</t>
    <phoneticPr fontId="8" type="noConversion"/>
  </si>
  <si>
    <t>ENSHRINE_REWARD</t>
    <phoneticPr fontId="8" type="noConversion"/>
  </si>
  <si>
    <t>话费券兑换</t>
  </si>
  <si>
    <t>出售物品获取金币</t>
  </si>
  <si>
    <t>使用物品获取金币</t>
  </si>
  <si>
    <t>CIK</t>
    <phoneticPr fontId="8" type="noConversion"/>
  </si>
  <si>
    <t>SELL</t>
    <phoneticPr fontId="8" type="noConversion"/>
  </si>
  <si>
    <t>USE</t>
    <phoneticPr fontId="8" type="noConversion"/>
  </si>
  <si>
    <t>皮肤抽奖钻石</t>
    <phoneticPr fontId="8" type="noConversion"/>
  </si>
  <si>
    <t>WEAPONS_DRAW_COST</t>
    <phoneticPr fontId="8" type="noConversion"/>
  </si>
  <si>
    <t>心跳参数</t>
    <phoneticPr fontId="8" type="noConversion"/>
  </si>
  <si>
    <t>HVALUE</t>
    <phoneticPr fontId="8" type="noConversion"/>
  </si>
  <si>
    <t>邮件领取</t>
    <phoneticPr fontId="8" type="noConversion"/>
  </si>
  <si>
    <t>MAIL</t>
    <phoneticPr fontId="8" type="noConversion"/>
  </si>
  <si>
    <t>float</t>
    <phoneticPr fontId="8" type="noConversion"/>
  </si>
  <si>
    <t>话费分享奖励</t>
    <phoneticPr fontId="8" type="noConversion"/>
  </si>
  <si>
    <t>SHARE_FIRST</t>
    <phoneticPr fontId="8" type="noConversion"/>
  </si>
  <si>
    <t>喇叭间隔</t>
    <phoneticPr fontId="8" type="noConversion"/>
  </si>
  <si>
    <t>CHANGE_CASH_1</t>
    <phoneticPr fontId="8" type="noConversion"/>
  </si>
  <si>
    <t>提现最低剩余金币</t>
    <phoneticPr fontId="8" type="noConversion"/>
  </si>
  <si>
    <t>CHANGE_CASH_2</t>
    <phoneticPr fontId="8" type="noConversion"/>
  </si>
  <si>
    <t>自动发货超额</t>
    <phoneticPr fontId="8" type="noConversion"/>
  </si>
  <si>
    <t>CHANGE_CASH_3</t>
    <phoneticPr fontId="8" type="noConversion"/>
  </si>
  <si>
    <t>提现比例</t>
    <phoneticPr fontId="8" type="noConversion"/>
  </si>
  <si>
    <t>CHANGE_CASH_4</t>
    <phoneticPr fontId="8" type="noConversion"/>
  </si>
  <si>
    <t>充值比例</t>
    <phoneticPr fontId="8" type="noConversion"/>
  </si>
  <si>
    <t>CHANGE_CASH_5</t>
    <phoneticPr fontId="8" type="noConversion"/>
  </si>
  <si>
    <t>预警玩家数</t>
    <phoneticPr fontId="8" type="noConversion"/>
  </si>
  <si>
    <t>[["i002",50],["i001",2000]]</t>
    <phoneticPr fontId="8" type="noConversion"/>
  </si>
  <si>
    <t>[["i002",10],["i001",1000]]</t>
    <phoneticPr fontId="8" type="noConversion"/>
  </si>
  <si>
    <t>CARD</t>
    <phoneticPr fontId="8" type="noConversion"/>
  </si>
  <si>
    <t>购买月卡消耗</t>
    <phoneticPr fontId="8" type="noConversion"/>
  </si>
  <si>
    <t>核弹消耗</t>
    <phoneticPr fontId="8" type="noConversion"/>
  </si>
  <si>
    <t>NUCLER_COST</t>
    <phoneticPr fontId="8" type="noConversion"/>
  </si>
  <si>
    <t>抽奖消耗</t>
    <phoneticPr fontId="8" type="noConversion"/>
  </si>
  <si>
    <t>ACTIVE_COST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</si>
</sst>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9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8"/>
      <color indexed="8"/>
      <name val="微软雅黑"/>
      <family val="2"/>
      <charset val="134"/>
    </font>
    <font>
      <sz val="8"/>
      <color indexed="8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6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49" fontId="2" fillId="3" borderId="0" xfId="0" applyNumberFormat="1" applyFont="1" applyFill="1" applyBorder="1" applyAlignment="1">
      <alignment horizontal="center" vertical="center"/>
    </xf>
    <xf numFmtId="0" fontId="0" fillId="0" borderId="0" xfId="0" applyBorder="1" applyAlignment="1"/>
    <xf numFmtId="0" fontId="1" fillId="0" borderId="0" xfId="0" applyFont="1" applyAlignment="1">
      <alignment horizontal="right"/>
    </xf>
    <xf numFmtId="0" fontId="0" fillId="0" borderId="0" xfId="0" applyFont="1" applyAlignment="1"/>
    <xf numFmtId="0" fontId="3" fillId="0" borderId="0" xfId="0" applyFont="1" applyAlignment="1"/>
    <xf numFmtId="0" fontId="4" fillId="4" borderId="3" xfId="0" applyFont="1" applyFill="1" applyBorder="1" applyAlignment="1"/>
    <xf numFmtId="0" fontId="4" fillId="4" borderId="0" xfId="0" applyFont="1" applyFill="1" applyBorder="1" applyAlignment="1"/>
    <xf numFmtId="0" fontId="5" fillId="5" borderId="4" xfId="0" applyFont="1" applyFill="1" applyBorder="1" applyAlignment="1"/>
    <xf numFmtId="0" fontId="5" fillId="5" borderId="5" xfId="0" applyFont="1" applyFill="1" applyBorder="1" applyAlignment="1"/>
    <xf numFmtId="0" fontId="5" fillId="5" borderId="0" xfId="0" applyFont="1" applyFill="1" applyAlignment="1"/>
    <xf numFmtId="49" fontId="6" fillId="2" borderId="1" xfId="0" applyNumberFormat="1" applyFont="1" applyFill="1" applyBorder="1" applyAlignment="1">
      <alignment horizontal="center"/>
    </xf>
    <xf numFmtId="49" fontId="6" fillId="3" borderId="2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 applyProtection="1">
      <alignment horizontal="center"/>
    </xf>
    <xf numFmtId="0" fontId="6" fillId="7" borderId="6" xfId="0" applyNumberFormat="1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0" fontId="10" fillId="0" borderId="0" xfId="0" applyFont="1" applyAlignment="1"/>
    <xf numFmtId="0" fontId="4" fillId="4" borderId="0" xfId="0" applyFont="1" applyFill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 2" xfId="1" xr:uid="{00000000-0005-0000-0000-000001000000}"/>
  </cellStyles>
  <dxfs count="4"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0</xdr:col>
      <xdr:colOff>314325</xdr:colOff>
      <xdr:row>2</xdr:row>
      <xdr:rowOff>152400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9525"/>
          <a:ext cx="304800" cy="5048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3:AN4" totalsRowShown="0" headerRowDxfId="3">
  <autoFilter ref="A3:AN4" xr:uid="{00000000-0009-0000-0100-000003000000}"/>
  <tableColumns count="40">
    <tableColumn id="1" xr3:uid="{00000000-0010-0000-0000-000001000000}" name="随机上限"/>
    <tableColumn id="2" xr3:uid="{00000000-0010-0000-0000-000002000000}" name="破产间隔秒"/>
    <tableColumn id="3" xr3:uid="{00000000-0010-0000-0000-000003000000}" name="破产次数上限"/>
    <tableColumn id="4" xr3:uid="{00000000-0010-0000-0000-000004000000}" name="存档更新周期秒"/>
    <tableColumn id="5" xr3:uid="{00000000-0010-0000-0000-000005000000}" name="开炮增加经验倍率"/>
    <tableColumn id="6" xr3:uid="{00000000-0010-0000-0000-000006000000}" name="鱼大分值标准，&gt;="/>
    <tableColumn id="7" xr3:uid="{00000000-0010-0000-0000-000007000000}" name="大量金币"/>
    <tableColumn id="8" xr3:uid="{00000000-0010-0000-0000-000008000000}" name="鱼死亡放大倍率"/>
    <tableColumn id="9" xr3:uid="{00000000-0010-0000-0000-000009000000}" name="掉落排列坐标，最多25个"/>
    <tableColumn id="10" xr3:uid="{00000000-0010-0000-0000-00000A000000}" name="首充奖励"/>
    <tableColumn id="11" xr3:uid="{00000000-0010-0000-0000-00000B000000}" name="收藏奖励"/>
    <tableColumn id="35" xr3:uid="{4382445A-851C-423A-B2CA-C0C39CA10CB8}" name="话费分享奖励" dataDxfId="2"/>
    <tableColumn id="12" xr3:uid="{00000000-0010-0000-0000-00000C000000}" name="基础放养鱼数量"/>
    <tableColumn id="13" xr3:uid="{00000000-0010-0000-0000-00000D000000}" name="女神碎片总数"/>
    <tableColumn id="14" xr3:uid="{00000000-0010-0000-0000-00000E000000}" name="女神互动间隔秒"/>
    <tableColumn id="15" xr3:uid="{00000000-0010-0000-0000-00000F000000}" name="赛季重置积分"/>
    <tableColumn id="16" xr3:uid="{00000000-0010-0000-0000-000010000000}" name="技能钻石消耗提醒边界"/>
    <tableColumn id="17" xr3:uid="{00000000-0010-0000-0000-000011000000}" name="女神在场景缩放"/>
    <tableColumn id="18" xr3:uid="{00000000-0010-0000-0000-000012000000}" name="陨石道具id"/>
    <tableColumn id="19" xr3:uid="{00000000-0010-0000-0000-000013000000}" name="陨石增加成功率"/>
    <tableColumn id="20" xr3:uid="{00000000-0010-0000-0000-000014000000}" name="锻造倍率要求"/>
    <tableColumn id="21" xr3:uid="{00000000-0010-0000-0000-000015000000}" name="排位赛匹配金币限制"/>
    <tableColumn id="22" xr3:uid="{00000000-0010-0000-0000-000016000000}" name="宝箱开启1钻石可以抵多少秒"/>
    <tableColumn id="23" xr3:uid="{00000000-0010-0000-0000-000017000000}" name="排位赛开放武器倍率限制"/>
    <tableColumn id="24" xr3:uid="{00000000-0010-0000-0000-000018000000}" name="女神消耗"/>
    <tableColumn id="25" xr3:uid="{00000000-0010-0000-0000-000019000000}" name="排位赛核弹发射金币条件"/>
    <tableColumn id="26" xr3:uid="{00000000-0010-0000-0000-00001A000000}" name="排位赛连胜标准"/>
    <tableColumn id="27" xr3:uid="{00000000-0010-0000-0000-00001B000000}" name="连胜加成系数"/>
    <tableColumn id="28" xr3:uid="{00000000-0010-0000-0000-00001C000000}" name="比赛解锁角色等级"/>
    <tableColumn id="29" xr3:uid="{00000000-0010-0000-0000-00001D000000}" name="首充提醒等级"/>
    <tableColumn id="30" xr3:uid="{00000000-0010-0000-0000-00001E000000}" name="喇叭对应钻石"/>
    <tableColumn id="31" xr3:uid="{00000000-0010-0000-0000-00001F000000}" name="补签消耗钻石"/>
    <tableColumn id="32" xr3:uid="{E930BAD9-D7A1-45F3-80CB-14FBBAF04951}" name="排位赛消息数量"/>
    <tableColumn id="33" xr3:uid="{CA18411D-AFCD-4630-B277-C0944C8B8587}" name="喇叭间隔"/>
    <tableColumn id="34" xr3:uid="{5AF5376E-C94D-4F40-9294-1DD8F5D716EB}" name="皮肤抽奖钻石" dataDxfId="1"/>
    <tableColumn id="36" xr3:uid="{B02A1D86-8759-4AE1-B07F-E43F196D48DA}" name="提现最低剩余金币"/>
    <tableColumn id="37" xr3:uid="{866A0AF2-EB4C-4848-8FA4-63CC3D86BFA6}" name="自动发货超额"/>
    <tableColumn id="38" xr3:uid="{B63C4184-2C02-48CA-9A5E-0200C42FAF88}" name="充值比例"/>
    <tableColumn id="39" xr3:uid="{236E6483-E801-43AD-B93F-F394541D8C2A}" name="提现比例"/>
    <tableColumn id="40" xr3:uid="{0200915C-C597-44BE-A2DD-F45516AAEB6E}" name="预警玩家数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3:T4" totalsRowShown="0">
  <autoFilter ref="A3:T4" xr:uid="{00000000-0009-0000-0100-000002000000}"/>
  <tableColumns count="20">
    <tableColumn id="1" xr3:uid="{00000000-0010-0000-0100-000001000000}" name="roiPCT参数"/>
    <tableColumn id="2" xr3:uid="{00000000-0010-0000-0100-000002000000}" name="roiPCT倍率"/>
    <tableColumn id="3" xr3:uid="{00000000-0010-0000-0100-000003000000}" name="roiPCT时间秒"/>
    <tableColumn id="4" xr3:uid="{00000000-0010-0000-0100-000004000000}" name="参数"/>
    <tableColumn id="5" xr3:uid="{00000000-0010-0000-0100-000005000000}" name="参数1"/>
    <tableColumn id="6" xr3:uid="{00000000-0010-0000-0100-000006000000}" name="新手保护等级"/>
    <tableColumn id="7" xr3:uid="{00000000-0010-0000-0100-000007000000}" name="新手保护几率"/>
    <tableColumn id="8" xr3:uid="{00000000-0010-0000-0100-000008000000}" name="火焰旋涡"/>
    <tableColumn id="9" xr3:uid="{00000000-0010-0000-0100-000009000000}" name="弧度转化,圆周率/180°扩大6倍">
      <calculatedColumnFormula>PI()/180*6</calculatedColumnFormula>
    </tableColumn>
    <tableColumn id="10" xr3:uid="{00000000-0010-0000-0100-00000A000000}" name="偏振常数"/>
    <tableColumn id="11" xr3:uid="{00000000-0010-0000-0100-00000B000000}" name="偏振系数"/>
    <tableColumn id="12" xr3:uid="{00000000-0010-0000-0100-00000C000000}" name="心跳上限"/>
    <tableColumn id="13" xr3:uid="{00000000-0010-0000-0100-00000D000000}" name="心跳+1需要金币系数"/>
    <tableColumn id="20" xr3:uid="{0C1C8DE8-51CD-4184-97B2-46FDCAEAF491}" name="心跳参数" dataDxfId="0"/>
    <tableColumn id="14" xr3:uid="{00000000-0010-0000-0100-00000E000000}" name="抽水"/>
    <tableColumn id="15" xr3:uid="{00000000-0010-0000-0100-00000F000000}" name="重置间隔"/>
    <tableColumn id="16" xr3:uid="{00000000-0010-0000-0100-000010000000}" name="出分加成"/>
    <tableColumn id="17" xr3:uid="{00000000-0010-0000-0100-000011000000}" name="出分时长"/>
    <tableColumn id="18" xr3:uid="{00000000-0010-0000-0100-000012000000}" name="吃分加成"/>
    <tableColumn id="19" xr3:uid="{00000000-0010-0000-0100-000013000000}" name="吃分时长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1" displayName="表1" ref="A3:AX4" totalsRowShown="0">
  <autoFilter ref="A3:AX4" xr:uid="{00000000-0009-0000-0100-000001000000}"/>
  <tableColumns count="50">
    <tableColumn id="1" xr3:uid="{00000000-0010-0000-0200-000001000000}" name="登录界面"/>
    <tableColumn id="2" xr3:uid="{00000000-0010-0000-0200-000002000000}" name="模式选择界面"/>
    <tableColumn id="3" xr3:uid="{00000000-0010-0000-0200-000003000000}" name="游戏战斗场景"/>
    <tableColumn id="4" xr3:uid="{00000000-0010-0000-0200-000004000000}" name="商城充值"/>
    <tableColumn id="5" xr3:uid="{00000000-0010-0000-0200-000005000000}" name="小游戏"/>
    <tableColumn id="6" xr3:uid="{00000000-0010-0000-0200-000006000000}" name="破产领取"/>
    <tableColumn id="7" xr3:uid="{00000000-0010-0000-0200-000007000000}" name="所有场景"/>
    <tableColumn id="8" xr3:uid="{00000000-0010-0000-0200-000008000000}" name="武器解锁"/>
    <tableColumn id="9" xr3:uid="{00000000-0010-0000-0200-000009000000}" name="技能购买"/>
    <tableColumn id="10" xr3:uid="{00000000-0010-0000-0200-00000A000000}" name="场景消耗"/>
    <tableColumn id="11" xr3:uid="{00000000-0010-0000-0200-00000B000000}" name="奖金抽取"/>
    <tableColumn id="12" xr3:uid="{00000000-0010-0000-0200-00000C000000}" name="日常领取"/>
    <tableColumn id="13" xr3:uid="{00000000-0010-0000-0200-00000D000000}" name="成就领取"/>
    <tableColumn id="14" xr3:uid="{00000000-0010-0000-0200-00000E000000}" name="海盗任务领取"/>
    <tableColumn id="15" xr3:uid="{00000000-0010-0000-0200-00000F000000}" name="捕鱼掉落"/>
    <tableColumn id="16" xr3:uid="{00000000-0010-0000-0200-000010000000}" name="VIP礼包购买"/>
    <tableColumn id="17" xr3:uid="{00000000-0010-0000-0200-000011000000}" name="限时礼包"/>
    <tableColumn id="18" xr3:uid="{00000000-0010-0000-0200-000012000000}" name="商城金币购买"/>
    <tableColumn id="19" xr3:uid="{00000000-0010-0000-0200-000013000000}" name="皮肤购买"/>
    <tableColumn id="20" xr3:uid="{00000000-0010-0000-0200-000014000000}" name="保卫女神挑战"/>
    <tableColumn id="21" xr3:uid="{00000000-0010-0000-0200-000015000000}" name="女神解锁"/>
    <tableColumn id="22" xr3:uid="{00000000-0010-0000-0200-000016000000}" name="女神升级"/>
    <tableColumn id="23" xr3:uid="{00000000-0010-0000-0200-000017000000}" name="被偷取"/>
    <tableColumn id="24" xr3:uid="{00000000-0010-0000-0200-000018000000}" name="宠物鱼升级或者解锁"/>
    <tableColumn id="25" xr3:uid="{00000000-0010-0000-0200-000019000000}" name="合成"/>
    <tableColumn id="26" xr3:uid="{00000000-0010-0000-0200-00001A000000}" name="宠物鱼领取奖励"/>
    <tableColumn id="27" xr3:uid="{00000000-0010-0000-0200-00001B000000}" name="核弹领取奖励2"/>
    <tableColumn id="28" xr3:uid="{00000000-0010-0000-0200-00001C000000}" name="排位赛开宝箱"/>
    <tableColumn id="29" xr3:uid="{71A3E9C2-1CD2-4EB1-91A6-5710B2454931}" name="激光领取奖励"/>
    <tableColumn id="30" xr3:uid="{0B8D2974-85BF-4BCE-8DA7-3AC187CF85C4}" name="排行榜奖励"/>
    <tableColumn id="31" xr3:uid="{61971E44-3517-466E-BAF5-3A0B310E6870}" name="活动抽奖"/>
    <tableColumn id="33" xr3:uid="{099BA611-443F-41BC-9F52-1AD28F3B09DF}" name="打赏奖励"/>
    <tableColumn id="34" xr3:uid="{BA454F1C-90B5-43CF-8B30-F1431EB37A1E}" name="翻盘基金购买"/>
    <tableColumn id="35" xr3:uid="{E99408A1-15A1-4024-872F-0A1F00DC74DD}" name="月签奖励和消耗(补签消耗钻石)"/>
    <tableColumn id="36" xr3:uid="{5C9A2A3C-C55D-49B9-AD75-421D0A243F9D}" name="分享奖励"/>
    <tableColumn id="37" xr3:uid="{2B5A5BB2-928C-4FD0-BB7F-C3D1D4912FAF}" name="活动任务"/>
    <tableColumn id="38" xr3:uid="{37D97930-ABF6-4681-B0FF-1AB4656CA585}" name="活动兑换"/>
    <tableColumn id="39" xr3:uid="{05DDF044-FE7E-48F0-B68E-70165F925D73}" name="活动充值回馈"/>
    <tableColumn id="40" xr3:uid="{01B1768A-E6C0-4EC1-88B8-26BF2FE3F1B1}" name="邀请好友"/>
    <tableColumn id="41" xr3:uid="{C892219C-9486-48D0-B9E8-B0FEE47D40AF}" name="开启礼盒"/>
    <tableColumn id="42" xr3:uid="{4C52D0F1-8491-4180-9F7B-8AD23A6AD34A}" name="首充奖励"/>
    <tableColumn id="43" xr3:uid="{48ADBCE1-2722-4BC8-AD99-DCC63DF2AC8C}" name="月卡奖励"/>
    <tableColumn id="44" xr3:uid="{E6FBCECC-1853-4608-9E53-CE210E5C80B1}" name="收藏奖励"/>
    <tableColumn id="32" xr3:uid="{AA06A012-2068-4147-8098-619A635E9707}" name="话费券兑换"/>
    <tableColumn id="45" xr3:uid="{DF46C4B5-10C1-4B68-AC8F-F49FA24DF31C}" name="出售物品获取金币"/>
    <tableColumn id="46" xr3:uid="{75512089-21B9-41A3-B0C1-2AC0F3FB5320}" name="使用物品获取金币"/>
    <tableColumn id="47" xr3:uid="{70973A11-43C5-4428-9E98-22345FE1241E}" name="邮件领取"/>
    <tableColumn id="48" xr3:uid="{E6F77F0E-A784-4AEF-A566-F4ECEDCE3641}" name="购买月卡消耗"/>
    <tableColumn id="49" xr3:uid="{CBF08145-D289-4B3A-BA58-2FA94B09D4C1}" name="核弹消耗"/>
    <tableColumn id="50" xr3:uid="{DCDE0941-9B59-4F5E-9A5B-753529C04B34}" name="抽奖消耗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5" t="s">
        <v>0</v>
      </c>
      <c r="B1" t="s">
        <v>1</v>
      </c>
    </row>
    <row r="2" spans="1:2" ht="16.5" x14ac:dyDescent="0.15">
      <c r="A2" s="16" t="s">
        <v>2</v>
      </c>
      <c r="B2" t="s">
        <v>3</v>
      </c>
    </row>
    <row r="3" spans="1:2" ht="16.5" x14ac:dyDescent="0.3">
      <c r="A3" s="17" t="s">
        <v>4</v>
      </c>
      <c r="B3" t="s">
        <v>5</v>
      </c>
    </row>
    <row r="4" spans="1:2" ht="16.5" x14ac:dyDescent="0.15">
      <c r="A4" s="18" t="s">
        <v>6</v>
      </c>
      <c r="B4" t="s">
        <v>7</v>
      </c>
    </row>
    <row r="6" spans="1:2" x14ac:dyDescent="0.15">
      <c r="A6" s="23" t="s">
        <v>8</v>
      </c>
      <c r="B6" s="24"/>
    </row>
    <row r="7" spans="1:2" x14ac:dyDescent="0.15">
      <c r="A7" s="24"/>
      <c r="B7" s="24"/>
    </row>
    <row r="8" spans="1:2" x14ac:dyDescent="0.15">
      <c r="A8" s="24"/>
      <c r="B8" s="24"/>
    </row>
    <row r="9" spans="1:2" x14ac:dyDescent="0.15">
      <c r="A9" s="24"/>
      <c r="B9" s="24"/>
    </row>
    <row r="10" spans="1:2" x14ac:dyDescent="0.15">
      <c r="A10" s="24"/>
      <c r="B10" s="24"/>
    </row>
    <row r="11" spans="1:2" x14ac:dyDescent="0.15">
      <c r="A11" s="24"/>
      <c r="B11" s="24"/>
    </row>
    <row r="12" spans="1:2" x14ac:dyDescent="0.15">
      <c r="A12" s="24"/>
      <c r="B12" s="24"/>
    </row>
    <row r="13" spans="1:2" x14ac:dyDescent="0.15">
      <c r="A13" s="24"/>
      <c r="B13" s="24"/>
    </row>
    <row r="14" spans="1:2" x14ac:dyDescent="0.15">
      <c r="A14" s="24"/>
      <c r="B14" s="24"/>
    </row>
    <row r="15" spans="1:2" x14ac:dyDescent="0.15">
      <c r="A15" s="24"/>
      <c r="B15" s="24"/>
    </row>
    <row r="16" spans="1:2" ht="13.15" customHeight="1" x14ac:dyDescent="0.15">
      <c r="A16" s="24"/>
      <c r="B16" s="24"/>
    </row>
    <row r="17" spans="1:2" ht="4.1500000000000004" customHeight="1" x14ac:dyDescent="0.15">
      <c r="A17" s="24"/>
      <c r="B17" s="24"/>
    </row>
    <row r="18" spans="1:2" hidden="1" x14ac:dyDescent="0.15">
      <c r="A18" s="24"/>
      <c r="B18" s="24"/>
    </row>
    <row r="19" spans="1:2" hidden="1" x14ac:dyDescent="0.15">
      <c r="A19" s="24"/>
      <c r="B19" s="24"/>
    </row>
    <row r="20" spans="1:2" hidden="1" x14ac:dyDescent="0.15">
      <c r="A20" s="24"/>
      <c r="B20" s="24"/>
    </row>
    <row r="21" spans="1:2" ht="22.9" customHeight="1" x14ac:dyDescent="0.15">
      <c r="A21" s="24"/>
      <c r="B21" s="24"/>
    </row>
    <row r="22" spans="1:2" ht="45" hidden="1" customHeight="1" x14ac:dyDescent="0.15">
      <c r="A22" s="24"/>
      <c r="B22" s="24"/>
    </row>
    <row r="23" spans="1:2" ht="51" hidden="1" customHeight="1" x14ac:dyDescent="0.15">
      <c r="A23" s="24"/>
      <c r="B23" s="24"/>
    </row>
    <row r="24" spans="1:2" x14ac:dyDescent="0.15">
      <c r="A24" s="25" t="s">
        <v>9</v>
      </c>
      <c r="B24" s="25"/>
    </row>
    <row r="25" spans="1:2" x14ac:dyDescent="0.15">
      <c r="A25" s="25" t="s">
        <v>10</v>
      </c>
      <c r="B25" s="25"/>
    </row>
    <row r="26" spans="1:2" x14ac:dyDescent="0.15">
      <c r="A26" s="25"/>
      <c r="B26" s="25"/>
    </row>
    <row r="27" spans="1:2" x14ac:dyDescent="0.15">
      <c r="A27" s="25"/>
      <c r="B27" s="25"/>
    </row>
    <row r="28" spans="1:2" x14ac:dyDescent="0.15">
      <c r="A28" s="25"/>
      <c r="B28" s="25"/>
    </row>
    <row r="29" spans="1:2" x14ac:dyDescent="0.15">
      <c r="A29" s="25"/>
      <c r="B29" s="25"/>
    </row>
    <row r="30" spans="1:2" x14ac:dyDescent="0.15">
      <c r="A30" s="25"/>
      <c r="B30" s="25"/>
    </row>
    <row r="31" spans="1:2" x14ac:dyDescent="0.15">
      <c r="A31" s="25"/>
      <c r="B31" s="25"/>
    </row>
    <row r="32" spans="1:2" x14ac:dyDescent="0.15">
      <c r="A32" s="25"/>
      <c r="B32" s="25"/>
    </row>
    <row r="33" spans="1:2" x14ac:dyDescent="0.15">
      <c r="A33" s="25"/>
      <c r="B33" s="25"/>
    </row>
    <row r="34" spans="1:2" x14ac:dyDescent="0.15">
      <c r="A34" s="25"/>
      <c r="B34" s="25"/>
    </row>
    <row r="35" spans="1:2" x14ac:dyDescent="0.15">
      <c r="A35" s="25"/>
      <c r="B35" s="25"/>
    </row>
    <row r="36" spans="1:2" x14ac:dyDescent="0.15">
      <c r="A36" s="25"/>
      <c r="B36" s="25"/>
    </row>
    <row r="37" spans="1:2" x14ac:dyDescent="0.15">
      <c r="A37" s="25"/>
      <c r="B37" s="25"/>
    </row>
    <row r="38" spans="1:2" x14ac:dyDescent="0.15">
      <c r="A38" s="25"/>
      <c r="B38" s="25"/>
    </row>
    <row r="39" spans="1:2" x14ac:dyDescent="0.15">
      <c r="A39" s="25"/>
      <c r="B39" s="25"/>
    </row>
    <row r="40" spans="1:2" x14ac:dyDescent="0.15">
      <c r="A40" s="25"/>
      <c r="B40" s="25"/>
    </row>
    <row r="41" spans="1:2" x14ac:dyDescent="0.15">
      <c r="A41" s="25"/>
      <c r="B41" s="25"/>
    </row>
    <row r="42" spans="1:2" x14ac:dyDescent="0.15">
      <c r="A42" s="25"/>
      <c r="B42" s="25"/>
    </row>
    <row r="43" spans="1:2" x14ac:dyDescent="0.15">
      <c r="A43" s="25"/>
      <c r="B43" s="25"/>
    </row>
    <row r="44" spans="1:2" x14ac:dyDescent="0.15">
      <c r="A44" s="25"/>
      <c r="B44" s="25"/>
    </row>
    <row r="45" spans="1:2" x14ac:dyDescent="0.15">
      <c r="A45" s="25"/>
      <c r="B45" s="25"/>
    </row>
    <row r="46" spans="1:2" x14ac:dyDescent="0.15">
      <c r="A46" s="25"/>
      <c r="B46" s="25"/>
    </row>
    <row r="47" spans="1:2" x14ac:dyDescent="0.15">
      <c r="A47" s="25"/>
      <c r="B47" s="25"/>
    </row>
    <row r="48" spans="1:2" x14ac:dyDescent="0.15">
      <c r="A48" s="25"/>
      <c r="B48" s="25"/>
    </row>
    <row r="49" spans="1:2" x14ac:dyDescent="0.15">
      <c r="A49" s="25"/>
      <c r="B49" s="25"/>
    </row>
    <row r="50" spans="1:2" x14ac:dyDescent="0.15">
      <c r="A50" s="25"/>
      <c r="B50" s="25"/>
    </row>
    <row r="51" spans="1:2" x14ac:dyDescent="0.15">
      <c r="A51" s="25"/>
      <c r="B51" s="25"/>
    </row>
    <row r="52" spans="1:2" x14ac:dyDescent="0.15">
      <c r="A52" s="25"/>
      <c r="B52" s="25"/>
    </row>
    <row r="53" spans="1:2" x14ac:dyDescent="0.15">
      <c r="A53" s="25"/>
      <c r="B53" s="25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8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4"/>
  <sheetViews>
    <sheetView tabSelected="1" workbookViewId="0">
      <pane xSplit="1" ySplit="3" topLeftCell="Z4" activePane="bottomRight" state="frozen"/>
      <selection pane="topRight"/>
      <selection pane="bottomLeft"/>
      <selection pane="bottomRight" activeCell="AE5" sqref="AE5"/>
    </sheetView>
  </sheetViews>
  <sheetFormatPr defaultColWidth="9" defaultRowHeight="13.5" x14ac:dyDescent="0.15"/>
  <cols>
    <col min="1" max="1" width="13.75" customWidth="1"/>
    <col min="2" max="2" width="12.625" customWidth="1"/>
    <col min="3" max="3" width="15.75" customWidth="1"/>
    <col min="4" max="4" width="14.375" customWidth="1"/>
    <col min="5" max="5" width="16.125" customWidth="1"/>
    <col min="6" max="6" width="15.875" customWidth="1"/>
    <col min="7" max="7" width="13.75" customWidth="1"/>
    <col min="8" max="8" width="13.625" customWidth="1"/>
    <col min="9" max="9" width="17.875" customWidth="1"/>
    <col min="10" max="12" width="14.125" customWidth="1"/>
    <col min="13" max="14" width="13.75" customWidth="1"/>
    <col min="15" max="15" width="14.625" customWidth="1"/>
    <col min="16" max="16" width="11.625" customWidth="1"/>
    <col min="17" max="17" width="17.875" customWidth="1"/>
    <col min="18" max="18" width="13.75" customWidth="1"/>
    <col min="19" max="19" width="20.875" customWidth="1"/>
    <col min="20" max="20" width="16.625" customWidth="1"/>
    <col min="21" max="22" width="12.75" customWidth="1"/>
    <col min="23" max="23" width="23.375" customWidth="1"/>
    <col min="24" max="24" width="20.5" customWidth="1"/>
    <col min="25" max="25" width="13.375" customWidth="1"/>
    <col min="26" max="26" width="18.625" customWidth="1"/>
    <col min="27" max="27" width="18.375" customWidth="1"/>
    <col min="28" max="29" width="16.125" customWidth="1"/>
    <col min="30" max="30" width="11.25" customWidth="1"/>
    <col min="31" max="31" width="13.625" customWidth="1"/>
    <col min="32" max="32" width="11" customWidth="1"/>
    <col min="33" max="33" width="17.875" customWidth="1"/>
    <col min="34" max="34" width="8.75" customWidth="1"/>
    <col min="35" max="35" width="12.625" customWidth="1"/>
    <col min="36" max="36" width="13.25" customWidth="1"/>
    <col min="37" max="37" width="12.5" customWidth="1"/>
    <col min="38" max="38" width="13.375" customWidth="1"/>
    <col min="39" max="39" width="13.25" customWidth="1"/>
    <col min="40" max="40" width="11.625" customWidth="1"/>
  </cols>
  <sheetData>
    <row r="1" spans="1:40" s="1" customFormat="1" ht="14.25" x14ac:dyDescent="0.3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221</v>
      </c>
      <c r="M1" s="2" t="s">
        <v>22</v>
      </c>
      <c r="N1" s="2" t="s">
        <v>23</v>
      </c>
      <c r="O1" s="2" t="s">
        <v>24</v>
      </c>
      <c r="P1" s="2" t="s">
        <v>25</v>
      </c>
      <c r="Q1" s="2" t="s">
        <v>26</v>
      </c>
      <c r="R1" s="2" t="s">
        <v>27</v>
      </c>
      <c r="S1" s="2" t="s">
        <v>28</v>
      </c>
      <c r="T1" s="2" t="s">
        <v>29</v>
      </c>
      <c r="U1" s="2" t="s">
        <v>30</v>
      </c>
      <c r="V1" s="2" t="s">
        <v>31</v>
      </c>
      <c r="W1" s="2" t="s">
        <v>32</v>
      </c>
      <c r="X1" s="2" t="s">
        <v>33</v>
      </c>
      <c r="Y1" s="2" t="s">
        <v>34</v>
      </c>
      <c r="Z1" s="2" t="s">
        <v>35</v>
      </c>
      <c r="AA1" s="2" t="s">
        <v>36</v>
      </c>
      <c r="AB1" s="2" t="s">
        <v>37</v>
      </c>
      <c r="AC1" s="2" t="s">
        <v>38</v>
      </c>
      <c r="AD1" s="2" t="s">
        <v>39</v>
      </c>
      <c r="AE1" s="2" t="s">
        <v>40</v>
      </c>
      <c r="AF1" s="2" t="s">
        <v>41</v>
      </c>
      <c r="AG1" s="2" t="s">
        <v>175</v>
      </c>
      <c r="AH1" s="2" t="s">
        <v>178</v>
      </c>
      <c r="AI1" s="2" t="s">
        <v>214</v>
      </c>
      <c r="AJ1" s="2" t="s">
        <v>223</v>
      </c>
      <c r="AK1" s="2" t="s">
        <v>225</v>
      </c>
      <c r="AL1" s="2" t="s">
        <v>227</v>
      </c>
      <c r="AM1" s="2" t="s">
        <v>229</v>
      </c>
      <c r="AN1" s="2" t="s">
        <v>231</v>
      </c>
    </row>
    <row r="2" spans="1:40" s="1" customFormat="1" ht="14.25" x14ac:dyDescent="0.15">
      <c r="A2" s="3" t="s">
        <v>42</v>
      </c>
      <c r="B2" s="3" t="s">
        <v>42</v>
      </c>
      <c r="C2" s="3" t="s">
        <v>42</v>
      </c>
      <c r="D2" s="3" t="s">
        <v>42</v>
      </c>
      <c r="E2" s="3" t="s">
        <v>42</v>
      </c>
      <c r="F2" s="3" t="s">
        <v>42</v>
      </c>
      <c r="G2" s="3" t="s">
        <v>42</v>
      </c>
      <c r="H2" s="3" t="s">
        <v>42</v>
      </c>
      <c r="I2" s="3" t="s">
        <v>43</v>
      </c>
      <c r="J2" s="3" t="s">
        <v>43</v>
      </c>
      <c r="K2" s="3" t="s">
        <v>43</v>
      </c>
      <c r="L2" s="3" t="s">
        <v>43</v>
      </c>
      <c r="M2" s="3" t="s">
        <v>42</v>
      </c>
      <c r="N2" s="3" t="s">
        <v>42</v>
      </c>
      <c r="O2" s="3" t="s">
        <v>42</v>
      </c>
      <c r="P2" s="3" t="s">
        <v>42</v>
      </c>
      <c r="Q2" s="3" t="s">
        <v>42</v>
      </c>
      <c r="R2" s="3" t="s">
        <v>44</v>
      </c>
      <c r="S2" s="3" t="s">
        <v>45</v>
      </c>
      <c r="T2" s="3" t="s">
        <v>44</v>
      </c>
      <c r="U2" s="3" t="s">
        <v>42</v>
      </c>
      <c r="V2" s="3" t="s">
        <v>42</v>
      </c>
      <c r="W2" s="3" t="s">
        <v>42</v>
      </c>
      <c r="X2" s="3" t="s">
        <v>42</v>
      </c>
      <c r="Y2" s="3" t="s">
        <v>43</v>
      </c>
      <c r="Z2" s="3" t="s">
        <v>42</v>
      </c>
      <c r="AA2" s="3" t="s">
        <v>42</v>
      </c>
      <c r="AB2" s="3" t="s">
        <v>42</v>
      </c>
      <c r="AC2" s="3" t="s">
        <v>42</v>
      </c>
      <c r="AD2" s="3" t="s">
        <v>42</v>
      </c>
      <c r="AE2" s="3" t="s">
        <v>42</v>
      </c>
      <c r="AF2" s="3" t="s">
        <v>42</v>
      </c>
      <c r="AG2" s="3" t="s">
        <v>176</v>
      </c>
      <c r="AH2" s="3" t="s">
        <v>176</v>
      </c>
      <c r="AI2" s="3" t="s">
        <v>42</v>
      </c>
      <c r="AJ2" s="3" t="s">
        <v>42</v>
      </c>
      <c r="AK2" s="3" t="s">
        <v>42</v>
      </c>
      <c r="AL2" s="3" t="s">
        <v>42</v>
      </c>
      <c r="AM2" s="3" t="s">
        <v>42</v>
      </c>
      <c r="AN2" s="3" t="s">
        <v>42</v>
      </c>
    </row>
    <row r="3" spans="1:40" s="1" customFormat="1" ht="11.25" x14ac:dyDescent="0.15">
      <c r="A3" s="7" t="s">
        <v>46</v>
      </c>
      <c r="B3" s="1" t="s">
        <v>47</v>
      </c>
      <c r="C3" s="1" t="s">
        <v>48</v>
      </c>
      <c r="D3" s="1" t="s">
        <v>49</v>
      </c>
      <c r="E3" s="1" t="s">
        <v>50</v>
      </c>
      <c r="F3" s="1" t="s">
        <v>51</v>
      </c>
      <c r="G3" s="1" t="s">
        <v>52</v>
      </c>
      <c r="H3" s="1" t="s">
        <v>53</v>
      </c>
      <c r="I3" s="1" t="s">
        <v>54</v>
      </c>
      <c r="J3" s="1" t="s">
        <v>55</v>
      </c>
      <c r="K3" s="1" t="s">
        <v>56</v>
      </c>
      <c r="L3" s="1" t="s">
        <v>220</v>
      </c>
      <c r="M3" s="1" t="s">
        <v>57</v>
      </c>
      <c r="N3" s="1" t="s">
        <v>58</v>
      </c>
      <c r="O3" s="1" t="s">
        <v>59</v>
      </c>
      <c r="P3" s="1" t="s">
        <v>60</v>
      </c>
      <c r="Q3" s="1" t="s">
        <v>61</v>
      </c>
      <c r="R3" s="1" t="s">
        <v>62</v>
      </c>
      <c r="S3" s="1" t="s">
        <v>63</v>
      </c>
      <c r="T3" s="1" t="s">
        <v>64</v>
      </c>
      <c r="U3" s="1" t="s">
        <v>65</v>
      </c>
      <c r="V3" s="10" t="s">
        <v>66</v>
      </c>
      <c r="W3" s="10" t="s">
        <v>67</v>
      </c>
      <c r="X3" s="11" t="s">
        <v>68</v>
      </c>
      <c r="Y3" s="1" t="s">
        <v>69</v>
      </c>
      <c r="Z3" s="11" t="s">
        <v>70</v>
      </c>
      <c r="AA3" s="1" t="s">
        <v>71</v>
      </c>
      <c r="AB3" s="1" t="s">
        <v>72</v>
      </c>
      <c r="AC3" s="10" t="s">
        <v>73</v>
      </c>
      <c r="AD3" s="22" t="s">
        <v>74</v>
      </c>
      <c r="AE3" s="22" t="s">
        <v>75</v>
      </c>
      <c r="AF3" s="1" t="s">
        <v>76</v>
      </c>
      <c r="AG3" s="1" t="s">
        <v>177</v>
      </c>
      <c r="AH3" s="1" t="s">
        <v>222</v>
      </c>
      <c r="AI3" s="22" t="s">
        <v>213</v>
      </c>
      <c r="AJ3" s="1" t="s">
        <v>224</v>
      </c>
      <c r="AK3" s="1" t="s">
        <v>226</v>
      </c>
      <c r="AL3" s="1" t="s">
        <v>230</v>
      </c>
      <c r="AM3" s="1" t="s">
        <v>228</v>
      </c>
      <c r="AN3" s="1" t="s">
        <v>232</v>
      </c>
    </row>
    <row r="4" spans="1:40" x14ac:dyDescent="0.15">
      <c r="A4">
        <v>100000</v>
      </c>
      <c r="B4">
        <v>30</v>
      </c>
      <c r="C4">
        <v>100</v>
      </c>
      <c r="D4">
        <v>3</v>
      </c>
      <c r="E4">
        <v>1</v>
      </c>
      <c r="F4">
        <v>30</v>
      </c>
      <c r="G4">
        <v>30</v>
      </c>
      <c r="H4">
        <v>3</v>
      </c>
      <c r="I4" s="8" t="s">
        <v>77</v>
      </c>
      <c r="J4" s="9" t="s">
        <v>233</v>
      </c>
      <c r="K4" s="9" t="s">
        <v>234</v>
      </c>
      <c r="L4" s="9" t="s">
        <v>78</v>
      </c>
      <c r="M4">
        <v>2</v>
      </c>
      <c r="N4">
        <v>9</v>
      </c>
      <c r="O4">
        <v>10800</v>
      </c>
      <c r="P4">
        <v>800</v>
      </c>
      <c r="Q4">
        <v>5000</v>
      </c>
      <c r="R4">
        <v>0.7</v>
      </c>
      <c r="S4" s="9" t="s">
        <v>79</v>
      </c>
      <c r="T4">
        <v>0.01</v>
      </c>
      <c r="U4">
        <v>1000</v>
      </c>
      <c r="V4">
        <v>20000</v>
      </c>
      <c r="W4">
        <v>150</v>
      </c>
      <c r="X4">
        <v>100000</v>
      </c>
      <c r="Y4" s="8" t="s">
        <v>80</v>
      </c>
      <c r="Z4" s="12">
        <v>5000</v>
      </c>
      <c r="AA4">
        <v>3</v>
      </c>
      <c r="AB4">
        <v>2</v>
      </c>
      <c r="AC4" s="13">
        <v>100</v>
      </c>
      <c r="AD4" s="14">
        <v>9</v>
      </c>
      <c r="AE4" s="14">
        <v>500</v>
      </c>
      <c r="AF4">
        <v>50</v>
      </c>
      <c r="AG4">
        <v>6</v>
      </c>
      <c r="AH4">
        <v>1</v>
      </c>
      <c r="AI4" s="14">
        <v>10</v>
      </c>
      <c r="AJ4">
        <v>35000</v>
      </c>
      <c r="AK4">
        <v>10000000</v>
      </c>
      <c r="AL4">
        <v>3</v>
      </c>
      <c r="AM4">
        <v>3.75</v>
      </c>
      <c r="AN4">
        <v>100</v>
      </c>
    </row>
  </sheetData>
  <phoneticPr fontId="8" type="noConversion"/>
  <pageMargins left="0.75" right="0.75" top="1" bottom="1" header="0.51180555555555596" footer="0.51180555555555596"/>
  <pageSetup paperSize="9" orientation="portrait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4"/>
  <sheetViews>
    <sheetView workbookViewId="0">
      <selection activeCell="S5" sqref="S5"/>
    </sheetView>
  </sheetViews>
  <sheetFormatPr defaultColWidth="9" defaultRowHeight="13.5" x14ac:dyDescent="0.15"/>
  <cols>
    <col min="1" max="1" width="11.875" customWidth="1"/>
    <col min="2" max="2" width="11.125" customWidth="1"/>
    <col min="3" max="3" width="12.75" customWidth="1"/>
    <col min="4" max="4" width="6.5" customWidth="1"/>
    <col min="5" max="5" width="8" customWidth="1"/>
    <col min="6" max="6" width="12.125" customWidth="1"/>
    <col min="7" max="7" width="13.75" customWidth="1"/>
    <col min="8" max="8" width="10.625" customWidth="1"/>
    <col min="9" max="9" width="17.125" customWidth="1"/>
    <col min="10" max="10" width="8.5" customWidth="1"/>
    <col min="11" max="11" width="9.875" customWidth="1"/>
    <col min="12" max="12" width="10.75" customWidth="1"/>
    <col min="13" max="13" width="18.75" customWidth="1"/>
    <col min="14" max="14" width="10" bestFit="1" customWidth="1"/>
  </cols>
  <sheetData>
    <row r="1" spans="1:20" s="1" customFormat="1" ht="14.25" x14ac:dyDescent="0.3">
      <c r="A1" s="2" t="s">
        <v>81</v>
      </c>
      <c r="B1" s="2" t="s">
        <v>82</v>
      </c>
      <c r="C1" s="2" t="s">
        <v>83</v>
      </c>
      <c r="D1" s="2" t="s">
        <v>84</v>
      </c>
      <c r="E1" s="2" t="s">
        <v>85</v>
      </c>
      <c r="F1" s="2" t="s">
        <v>86</v>
      </c>
      <c r="G1" s="2" t="s">
        <v>87</v>
      </c>
      <c r="H1" s="2" t="s">
        <v>88</v>
      </c>
      <c r="I1" s="2" t="s">
        <v>89</v>
      </c>
      <c r="J1" s="2" t="s">
        <v>90</v>
      </c>
      <c r="K1" s="2" t="s">
        <v>91</v>
      </c>
      <c r="L1" s="2" t="s">
        <v>92</v>
      </c>
      <c r="M1" s="2" t="s">
        <v>93</v>
      </c>
      <c r="N1" s="2" t="s">
        <v>216</v>
      </c>
      <c r="O1" s="2" t="s">
        <v>94</v>
      </c>
      <c r="P1" s="2" t="s">
        <v>95</v>
      </c>
      <c r="Q1" s="2" t="s">
        <v>96</v>
      </c>
      <c r="R1" s="2" t="s">
        <v>97</v>
      </c>
      <c r="S1" s="2" t="s">
        <v>98</v>
      </c>
      <c r="T1" s="2" t="s">
        <v>99</v>
      </c>
    </row>
    <row r="2" spans="1:20" s="1" customFormat="1" ht="14.25" x14ac:dyDescent="0.15">
      <c r="A2" s="3" t="s">
        <v>42</v>
      </c>
      <c r="B2" s="3" t="s">
        <v>44</v>
      </c>
      <c r="C2" s="3" t="s">
        <v>42</v>
      </c>
      <c r="D2" s="3" t="s">
        <v>42</v>
      </c>
      <c r="E2" s="3" t="s">
        <v>42</v>
      </c>
      <c r="F2" s="3" t="s">
        <v>42</v>
      </c>
      <c r="G2" s="3" t="s">
        <v>44</v>
      </c>
      <c r="H2" s="3" t="s">
        <v>42</v>
      </c>
      <c r="I2" s="3" t="s">
        <v>44</v>
      </c>
      <c r="J2" s="3" t="s">
        <v>44</v>
      </c>
      <c r="K2" s="3" t="s">
        <v>44</v>
      </c>
      <c r="L2" s="3" t="s">
        <v>42</v>
      </c>
      <c r="M2" s="3" t="s">
        <v>42</v>
      </c>
      <c r="N2" s="3" t="s">
        <v>219</v>
      </c>
      <c r="O2" s="3" t="s">
        <v>44</v>
      </c>
      <c r="P2" s="3" t="s">
        <v>42</v>
      </c>
      <c r="Q2" s="3" t="s">
        <v>44</v>
      </c>
      <c r="R2" s="3" t="s">
        <v>42</v>
      </c>
      <c r="S2" s="3" t="s">
        <v>44</v>
      </c>
      <c r="T2" s="3" t="s">
        <v>42</v>
      </c>
    </row>
    <row r="3" spans="1:20" s="1" customFormat="1" ht="11.25" x14ac:dyDescent="0.15">
      <c r="A3" s="4" t="s">
        <v>100</v>
      </c>
      <c r="B3" s="1" t="s">
        <v>101</v>
      </c>
      <c r="C3" s="1" t="s">
        <v>102</v>
      </c>
      <c r="D3" s="1" t="s">
        <v>103</v>
      </c>
      <c r="E3" s="1" t="s">
        <v>104</v>
      </c>
      <c r="F3" s="1" t="s">
        <v>105</v>
      </c>
      <c r="G3" s="1" t="s">
        <v>106</v>
      </c>
      <c r="H3" s="1" t="s">
        <v>107</v>
      </c>
      <c r="I3" s="1" t="s">
        <v>108</v>
      </c>
      <c r="J3" s="1" t="s">
        <v>109</v>
      </c>
      <c r="K3" s="1" t="s">
        <v>110</v>
      </c>
      <c r="L3" s="1" t="s">
        <v>111</v>
      </c>
      <c r="M3" s="1" t="s">
        <v>112</v>
      </c>
      <c r="N3" s="1" t="s">
        <v>215</v>
      </c>
      <c r="O3" s="1" t="s">
        <v>113</v>
      </c>
      <c r="P3" s="1" t="s">
        <v>114</v>
      </c>
      <c r="Q3" s="1" t="s">
        <v>115</v>
      </c>
      <c r="R3" s="1" t="s">
        <v>116</v>
      </c>
      <c r="S3" s="1" t="s">
        <v>117</v>
      </c>
      <c r="T3" s="1" t="s">
        <v>118</v>
      </c>
    </row>
    <row r="4" spans="1:20" x14ac:dyDescent="0.15">
      <c r="A4">
        <v>20000</v>
      </c>
      <c r="B4">
        <v>0.95</v>
      </c>
      <c r="C4">
        <v>300</v>
      </c>
      <c r="D4">
        <v>1</v>
      </c>
      <c r="E4">
        <v>1</v>
      </c>
      <c r="F4">
        <v>10</v>
      </c>
      <c r="G4">
        <v>0.8</v>
      </c>
      <c r="H4">
        <v>100</v>
      </c>
      <c r="I4" s="6">
        <f t="shared" ref="I4" si="0">PI()/180*6</f>
        <v>0.10471975511965978</v>
      </c>
      <c r="J4" s="6">
        <v>0</v>
      </c>
      <c r="K4" s="6">
        <v>1</v>
      </c>
      <c r="L4" s="6">
        <v>180</v>
      </c>
      <c r="M4" s="6">
        <v>5</v>
      </c>
      <c r="N4" s="6">
        <v>0.5</v>
      </c>
      <c r="O4">
        <v>0.05</v>
      </c>
      <c r="P4">
        <v>900</v>
      </c>
      <c r="Q4">
        <v>1.2</v>
      </c>
      <c r="R4">
        <v>300</v>
      </c>
      <c r="S4">
        <v>0.8</v>
      </c>
      <c r="T4">
        <v>300</v>
      </c>
    </row>
  </sheetData>
  <phoneticPr fontId="8" type="noConversion"/>
  <pageMargins left="0.75" right="0.75" top="1" bottom="1" header="0.51180555555555596" footer="0.51180555555555596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X4"/>
  <sheetViews>
    <sheetView topLeftCell="AL1" workbookViewId="0">
      <selection activeCell="AS18" sqref="AS18"/>
    </sheetView>
  </sheetViews>
  <sheetFormatPr defaultColWidth="9" defaultRowHeight="13.5" x14ac:dyDescent="0.15"/>
  <cols>
    <col min="1" max="1" width="10" customWidth="1"/>
    <col min="2" max="2" width="14.25" customWidth="1"/>
    <col min="3" max="3" width="13.125" customWidth="1"/>
    <col min="4" max="4" width="8.875" customWidth="1"/>
    <col min="5" max="5" width="9.75" customWidth="1"/>
    <col min="6" max="6" width="10.375" customWidth="1"/>
    <col min="7" max="7" width="9.375" customWidth="1"/>
    <col min="8" max="8" width="14.25" customWidth="1"/>
    <col min="9" max="9" width="9.25" customWidth="1"/>
    <col min="10" max="10" width="11.5" customWidth="1"/>
    <col min="11" max="11" width="12.375" customWidth="1"/>
    <col min="12" max="12" width="10.125" customWidth="1"/>
    <col min="13" max="13" width="11.625" customWidth="1"/>
    <col min="14" max="14" width="10.375" customWidth="1"/>
    <col min="15" max="15" width="10" customWidth="1"/>
    <col min="16" max="16" width="9.875" customWidth="1"/>
    <col min="17" max="17" width="11.625" customWidth="1"/>
    <col min="20" max="20" width="14" customWidth="1"/>
    <col min="21" max="21" width="11.625" customWidth="1"/>
    <col min="22" max="22" width="12" customWidth="1"/>
    <col min="23" max="23" width="10" customWidth="1"/>
    <col min="24" max="24" width="15" customWidth="1"/>
    <col min="25" max="25" width="9.5" customWidth="1"/>
    <col min="26" max="26" width="12" customWidth="1"/>
    <col min="29" max="29" width="13.375" bestFit="1" customWidth="1"/>
    <col min="30" max="30" width="10.875" customWidth="1"/>
    <col min="31" max="31" width="12.5" bestFit="1" customWidth="1"/>
    <col min="49" max="49" width="10.625" customWidth="1"/>
    <col min="50" max="50" width="10.875" customWidth="1"/>
  </cols>
  <sheetData>
    <row r="1" spans="1:50" s="21" customFormat="1" x14ac:dyDescent="0.3">
      <c r="A1" s="19" t="s">
        <v>119</v>
      </c>
      <c r="B1" s="19" t="s">
        <v>120</v>
      </c>
      <c r="C1" s="19" t="s">
        <v>121</v>
      </c>
      <c r="D1" s="19" t="s">
        <v>122</v>
      </c>
      <c r="E1" s="19" t="s">
        <v>123</v>
      </c>
      <c r="F1" s="19" t="s">
        <v>124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19" t="s">
        <v>133</v>
      </c>
      <c r="P1" s="19" t="s">
        <v>134</v>
      </c>
      <c r="Q1" s="19" t="s">
        <v>135</v>
      </c>
      <c r="R1" s="19" t="s">
        <v>136</v>
      </c>
      <c r="S1" s="19" t="s">
        <v>137</v>
      </c>
      <c r="T1" s="19" t="s">
        <v>138</v>
      </c>
      <c r="U1" s="19" t="s">
        <v>139</v>
      </c>
      <c r="V1" s="19" t="s">
        <v>140</v>
      </c>
      <c r="W1" s="19" t="s">
        <v>141</v>
      </c>
      <c r="X1" s="19" t="s">
        <v>142</v>
      </c>
      <c r="Y1" s="19" t="s">
        <v>143</v>
      </c>
      <c r="Z1" s="19" t="s">
        <v>144</v>
      </c>
      <c r="AA1" s="19" t="s">
        <v>145</v>
      </c>
      <c r="AB1" s="20" t="s">
        <v>146</v>
      </c>
      <c r="AC1" s="19" t="s">
        <v>180</v>
      </c>
      <c r="AD1" s="19" t="s">
        <v>182</v>
      </c>
      <c r="AE1" s="19" t="s">
        <v>183</v>
      </c>
      <c r="AF1" s="19" t="s">
        <v>195</v>
      </c>
      <c r="AG1" s="19" t="s">
        <v>196</v>
      </c>
      <c r="AH1" s="19" t="s">
        <v>197</v>
      </c>
      <c r="AI1" s="19" t="s">
        <v>198</v>
      </c>
      <c r="AJ1" s="19" t="s">
        <v>199</v>
      </c>
      <c r="AK1" s="19" t="s">
        <v>200</v>
      </c>
      <c r="AL1" s="19" t="s">
        <v>201</v>
      </c>
      <c r="AM1" s="19" t="s">
        <v>202</v>
      </c>
      <c r="AN1" s="19" t="s">
        <v>203</v>
      </c>
      <c r="AO1" s="19" t="s">
        <v>204</v>
      </c>
      <c r="AP1" s="19" t="s">
        <v>205</v>
      </c>
      <c r="AQ1" s="19" t="s">
        <v>206</v>
      </c>
      <c r="AR1" s="19" t="s">
        <v>210</v>
      </c>
      <c r="AS1" s="19" t="s">
        <v>211</v>
      </c>
      <c r="AT1" s="19" t="s">
        <v>212</v>
      </c>
      <c r="AU1" s="19" t="s">
        <v>218</v>
      </c>
      <c r="AV1" s="19" t="s">
        <v>235</v>
      </c>
      <c r="AW1" s="19" t="s">
        <v>238</v>
      </c>
      <c r="AX1" s="19" t="s">
        <v>240</v>
      </c>
    </row>
    <row r="2" spans="1:50" s="1" customFormat="1" ht="14.25" x14ac:dyDescent="0.15">
      <c r="A2" s="3" t="s">
        <v>42</v>
      </c>
      <c r="B2" s="3" t="s">
        <v>42</v>
      </c>
      <c r="C2" s="3" t="s">
        <v>42</v>
      </c>
      <c r="D2" s="3" t="s">
        <v>42</v>
      </c>
      <c r="E2" s="3" t="s">
        <v>42</v>
      </c>
      <c r="F2" s="3" t="s">
        <v>42</v>
      </c>
      <c r="G2" s="3" t="s">
        <v>42</v>
      </c>
      <c r="H2" s="3" t="s">
        <v>42</v>
      </c>
      <c r="I2" s="3" t="s">
        <v>42</v>
      </c>
      <c r="J2" s="3" t="s">
        <v>42</v>
      </c>
      <c r="K2" s="3" t="s">
        <v>42</v>
      </c>
      <c r="L2" s="3" t="s">
        <v>42</v>
      </c>
      <c r="M2" s="3" t="s">
        <v>42</v>
      </c>
      <c r="N2" s="3" t="s">
        <v>42</v>
      </c>
      <c r="O2" s="3" t="s">
        <v>42</v>
      </c>
      <c r="P2" s="3" t="s">
        <v>42</v>
      </c>
      <c r="Q2" s="3" t="s">
        <v>42</v>
      </c>
      <c r="R2" s="3" t="s">
        <v>42</v>
      </c>
      <c r="S2" s="3" t="s">
        <v>42</v>
      </c>
      <c r="T2" s="3" t="s">
        <v>42</v>
      </c>
      <c r="U2" s="3" t="s">
        <v>42</v>
      </c>
      <c r="V2" s="3" t="s">
        <v>42</v>
      </c>
      <c r="W2" s="3" t="s">
        <v>42</v>
      </c>
      <c r="X2" s="3" t="s">
        <v>42</v>
      </c>
      <c r="Y2" s="3" t="s">
        <v>42</v>
      </c>
      <c r="Z2" s="3" t="s">
        <v>42</v>
      </c>
      <c r="AA2" s="3" t="s">
        <v>42</v>
      </c>
      <c r="AB2" s="5" t="s">
        <v>42</v>
      </c>
      <c r="AC2" s="3" t="s">
        <v>42</v>
      </c>
      <c r="AD2" s="3" t="s">
        <v>42</v>
      </c>
      <c r="AE2" s="3" t="s">
        <v>42</v>
      </c>
      <c r="AF2" s="3" t="s">
        <v>42</v>
      </c>
      <c r="AG2" s="3" t="s">
        <v>42</v>
      </c>
      <c r="AH2" s="3" t="s">
        <v>42</v>
      </c>
      <c r="AI2" s="3" t="s">
        <v>42</v>
      </c>
      <c r="AJ2" s="3" t="s">
        <v>42</v>
      </c>
      <c r="AK2" s="3" t="s">
        <v>42</v>
      </c>
      <c r="AL2" s="3" t="s">
        <v>42</v>
      </c>
      <c r="AM2" s="3" t="s">
        <v>42</v>
      </c>
      <c r="AN2" s="3" t="s">
        <v>42</v>
      </c>
      <c r="AO2" s="3" t="s">
        <v>42</v>
      </c>
      <c r="AP2" s="3" t="s">
        <v>42</v>
      </c>
      <c r="AQ2" s="3" t="s">
        <v>42</v>
      </c>
      <c r="AR2" s="3" t="s">
        <v>42</v>
      </c>
      <c r="AS2" s="3" t="s">
        <v>42</v>
      </c>
      <c r="AT2" s="3" t="s">
        <v>42</v>
      </c>
      <c r="AU2" s="3" t="s">
        <v>42</v>
      </c>
      <c r="AV2" s="3" t="s">
        <v>42</v>
      </c>
      <c r="AW2" s="3" t="s">
        <v>42</v>
      </c>
      <c r="AX2" s="3" t="s">
        <v>42</v>
      </c>
    </row>
    <row r="3" spans="1:50" x14ac:dyDescent="0.15">
      <c r="A3" s="4" t="s">
        <v>147</v>
      </c>
      <c r="B3" s="1" t="s">
        <v>148</v>
      </c>
      <c r="C3" s="1" t="s">
        <v>149</v>
      </c>
      <c r="D3" s="1" t="s">
        <v>150</v>
      </c>
      <c r="E3" s="1" t="s">
        <v>151</v>
      </c>
      <c r="F3" s="1" t="s">
        <v>152</v>
      </c>
      <c r="G3" s="1" t="s">
        <v>153</v>
      </c>
      <c r="H3" s="1" t="s">
        <v>154</v>
      </c>
      <c r="I3" s="1" t="s">
        <v>155</v>
      </c>
      <c r="J3" s="1" t="s">
        <v>156</v>
      </c>
      <c r="K3" s="1" t="s">
        <v>157</v>
      </c>
      <c r="L3" s="1" t="s">
        <v>158</v>
      </c>
      <c r="M3" s="1" t="s">
        <v>159</v>
      </c>
      <c r="N3" s="1" t="s">
        <v>160</v>
      </c>
      <c r="O3" s="1" t="s">
        <v>161</v>
      </c>
      <c r="P3" s="1" t="s">
        <v>162</v>
      </c>
      <c r="Q3" s="1" t="s">
        <v>163</v>
      </c>
      <c r="R3" s="1" t="s">
        <v>164</v>
      </c>
      <c r="S3" s="1" t="s">
        <v>165</v>
      </c>
      <c r="T3" s="1" t="s">
        <v>166</v>
      </c>
      <c r="U3" s="1" t="s">
        <v>167</v>
      </c>
      <c r="V3" s="1" t="s">
        <v>168</v>
      </c>
      <c r="W3" s="1" t="s">
        <v>169</v>
      </c>
      <c r="X3" s="1" t="s">
        <v>170</v>
      </c>
      <c r="Y3" s="1" t="s">
        <v>171</v>
      </c>
      <c r="Z3" s="1" t="s">
        <v>172</v>
      </c>
      <c r="AA3" s="1" t="s">
        <v>173</v>
      </c>
      <c r="AB3" s="1" t="s">
        <v>174</v>
      </c>
      <c r="AC3" s="1" t="s">
        <v>179</v>
      </c>
      <c r="AD3" s="1" t="s">
        <v>181</v>
      </c>
      <c r="AE3" s="1" t="s">
        <v>184</v>
      </c>
      <c r="AF3" t="s">
        <v>185</v>
      </c>
      <c r="AG3" t="s">
        <v>186</v>
      </c>
      <c r="AH3" t="s">
        <v>187</v>
      </c>
      <c r="AI3" t="s">
        <v>188</v>
      </c>
      <c r="AJ3" t="s">
        <v>189</v>
      </c>
      <c r="AK3" t="s">
        <v>190</v>
      </c>
      <c r="AL3" t="s">
        <v>191</v>
      </c>
      <c r="AM3" t="s">
        <v>192</v>
      </c>
      <c r="AN3" t="s">
        <v>193</v>
      </c>
      <c r="AO3" t="s">
        <v>55</v>
      </c>
      <c r="AP3" t="s">
        <v>194</v>
      </c>
      <c r="AQ3" t="s">
        <v>56</v>
      </c>
      <c r="AR3" t="s">
        <v>207</v>
      </c>
      <c r="AS3" t="s">
        <v>208</v>
      </c>
      <c r="AT3" t="s">
        <v>209</v>
      </c>
      <c r="AU3" s="9" t="s">
        <v>217</v>
      </c>
      <c r="AV3" s="9" t="s">
        <v>236</v>
      </c>
      <c r="AW3" s="9" t="s">
        <v>237</v>
      </c>
      <c r="AX3" s="9" t="s">
        <v>239</v>
      </c>
    </row>
    <row r="4" spans="1:50" x14ac:dyDescent="0.1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  <c r="X4">
        <v>24</v>
      </c>
      <c r="Y4">
        <v>25</v>
      </c>
      <c r="Z4">
        <v>26</v>
      </c>
      <c r="AA4">
        <v>27</v>
      </c>
      <c r="AB4">
        <v>28</v>
      </c>
      <c r="AC4">
        <v>29</v>
      </c>
      <c r="AD4">
        <v>30</v>
      </c>
      <c r="AE4">
        <v>31</v>
      </c>
      <c r="AF4">
        <v>32</v>
      </c>
      <c r="AG4">
        <v>33</v>
      </c>
      <c r="AH4">
        <v>34</v>
      </c>
      <c r="AI4">
        <v>35</v>
      </c>
      <c r="AJ4">
        <v>36</v>
      </c>
      <c r="AK4">
        <v>37</v>
      </c>
      <c r="AL4">
        <v>38</v>
      </c>
      <c r="AM4">
        <v>39</v>
      </c>
      <c r="AN4">
        <v>40</v>
      </c>
      <c r="AO4">
        <v>41</v>
      </c>
      <c r="AP4">
        <v>42</v>
      </c>
      <c r="AQ4">
        <v>43</v>
      </c>
      <c r="AR4">
        <v>44</v>
      </c>
      <c r="AS4">
        <v>45</v>
      </c>
      <c r="AT4">
        <v>46</v>
      </c>
      <c r="AU4">
        <v>47</v>
      </c>
      <c r="AV4">
        <v>48</v>
      </c>
      <c r="AW4">
        <v>49</v>
      </c>
      <c r="AX4">
        <v>50</v>
      </c>
    </row>
  </sheetData>
  <phoneticPr fontId="8" type="noConversion"/>
  <pageMargins left="0.75" right="0.75" top="1" bottom="1" header="0.51180555555555596" footer="0.51180555555555596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description</vt:lpstr>
      <vt:lpstr>const_cfg</vt:lpstr>
      <vt:lpstr>mathadjust_const_cfg</vt:lpstr>
      <vt:lpstr>log_const_cfg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2017-12-08T06:07:22Z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