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F:\fishjoy_design\data_table_js-越南版\"/>
    </mc:Choice>
  </mc:AlternateContent>
  <bookViews>
    <workbookView xWindow="0" yWindow="0" windowWidth="28695" windowHeight="14850" activeTab="1" xr2:uid="{00000000-000D-0000-FFFF-FFFF00000000}"/>
  </bookViews>
  <sheets>
    <sheet name="description" sheetId="1" r:id="rId1"/>
    <sheet name="goddess_cfg" sheetId="8" r:id="rId2"/>
    <sheet name="goddessup_cfg" sheetId="9" r:id="rId3"/>
    <sheet name="defend_cfg" sheetId="11" r:id="rId4"/>
    <sheet name="fishborn_cfg" sheetId="14" r:id="rId5"/>
    <sheet name="interact_cfg" sheetId="12" r:id="rId6"/>
    <sheet name="rankreward_cfg" sheetId="15" r:id="rId7"/>
  </sheets>
  <functionGroups builtInGroupCount="19"/>
  <externalReferences>
    <externalReference r:id="rId8"/>
  </externalReferences>
  <calcPr calcId="171027"/>
</workbook>
</file>

<file path=xl/calcChain.xml><?xml version="1.0" encoding="utf-8"?>
<calcChain xmlns="http://schemas.openxmlformats.org/spreadsheetml/2006/main">
  <c r="H4" i="9" l="1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44" i="9"/>
  <c r="H45" i="9"/>
  <c r="H46" i="9"/>
  <c r="H47" i="9"/>
  <c r="H48" i="9"/>
  <c r="H49" i="9"/>
  <c r="H50" i="9"/>
  <c r="H51" i="9"/>
  <c r="H52" i="9"/>
  <c r="H53" i="9"/>
  <c r="H54" i="9"/>
  <c r="H55" i="9"/>
  <c r="H56" i="9"/>
  <c r="K51" i="9" l="1"/>
  <c r="K52" i="9"/>
  <c r="K53" i="9"/>
  <c r="K55" i="9"/>
  <c r="K48" i="9"/>
  <c r="K49" i="9"/>
  <c r="K47" i="9"/>
  <c r="K5" i="9"/>
  <c r="K7" i="9"/>
  <c r="K9" i="9"/>
  <c r="K11" i="9"/>
  <c r="K12" i="9"/>
  <c r="K13" i="9"/>
  <c r="K14" i="9"/>
  <c r="K15" i="9"/>
  <c r="K16" i="9"/>
  <c r="K17" i="9"/>
  <c r="K18" i="9"/>
  <c r="K20" i="9"/>
  <c r="K22" i="9"/>
  <c r="K24" i="9"/>
  <c r="K25" i="9"/>
  <c r="K27" i="9"/>
  <c r="K28" i="9"/>
  <c r="K29" i="9"/>
  <c r="K31" i="9"/>
  <c r="K33" i="9"/>
  <c r="K35" i="9"/>
  <c r="K37" i="9"/>
  <c r="K38" i="9"/>
  <c r="K39" i="9"/>
  <c r="K40" i="9"/>
  <c r="K41" i="9"/>
  <c r="K42" i="9"/>
  <c r="K44" i="9"/>
  <c r="K45" i="9"/>
  <c r="K36" i="9"/>
  <c r="K26" i="9"/>
  <c r="K21" i="9"/>
  <c r="K32" i="9"/>
  <c r="K4" i="9"/>
  <c r="K6" i="9"/>
  <c r="K8" i="9"/>
  <c r="K10" i="9"/>
  <c r="K19" i="9"/>
  <c r="K23" i="9"/>
  <c r="K30" i="9"/>
  <c r="K34" i="9"/>
  <c r="K43" i="9"/>
  <c r="K46" i="9"/>
  <c r="K50" i="9"/>
  <c r="K54" i="9"/>
  <c r="K56" i="9"/>
  <c r="B4" i="11" l="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A196" i="14"/>
  <c r="A197" i="14"/>
  <c r="A198" i="14"/>
  <c r="A199" i="14"/>
  <c r="A200" i="14"/>
  <c r="A191" i="14"/>
  <c r="A192" i="14"/>
  <c r="A193" i="14"/>
  <c r="A194" i="14"/>
  <c r="A195" i="14"/>
  <c r="A181" i="14"/>
  <c r="A182" i="14"/>
  <c r="A183" i="14"/>
  <c r="A184" i="14"/>
  <c r="A185" i="14"/>
  <c r="A186" i="14"/>
  <c r="A187" i="14"/>
  <c r="A188" i="14"/>
  <c r="A189" i="14"/>
  <c r="A190" i="14"/>
  <c r="A171" i="14"/>
  <c r="A172" i="14"/>
  <c r="A173" i="14"/>
  <c r="A174" i="14"/>
  <c r="A175" i="14"/>
  <c r="A176" i="14"/>
  <c r="A177" i="14"/>
  <c r="A178" i="14"/>
  <c r="A179" i="14"/>
  <c r="A180" i="14"/>
  <c r="A9" i="14"/>
  <c r="A10" i="14"/>
  <c r="A11" i="14"/>
  <c r="A12" i="14"/>
  <c r="A13" i="14"/>
  <c r="A4" i="14"/>
  <c r="A5" i="14"/>
  <c r="A6" i="14"/>
  <c r="A7" i="14"/>
  <c r="A8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35" i="14"/>
  <c r="A36" i="14"/>
  <c r="A37" i="14"/>
  <c r="A38" i="14"/>
  <c r="A39" i="14"/>
  <c r="A40" i="14"/>
  <c r="A41" i="14"/>
  <c r="A42" i="14"/>
  <c r="A43" i="14"/>
  <c r="A44" i="14"/>
  <c r="A45" i="14"/>
  <c r="A46" i="14"/>
  <c r="A47" i="14"/>
  <c r="A48" i="14"/>
  <c r="A49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A65" i="14"/>
  <c r="A66" i="14"/>
  <c r="A67" i="14"/>
  <c r="A68" i="14"/>
  <c r="A69" i="14"/>
  <c r="A70" i="14"/>
  <c r="A71" i="14"/>
  <c r="A72" i="14"/>
  <c r="A73" i="14"/>
  <c r="A74" i="14"/>
  <c r="A75" i="14"/>
  <c r="A76" i="14"/>
  <c r="A77" i="14"/>
  <c r="A78" i="14"/>
  <c r="A79" i="14"/>
  <c r="A80" i="14"/>
  <c r="A81" i="14"/>
  <c r="A82" i="14"/>
  <c r="A83" i="14"/>
  <c r="A84" i="14"/>
  <c r="A85" i="14"/>
  <c r="A86" i="14"/>
  <c r="A87" i="14"/>
  <c r="A88" i="14"/>
  <c r="A89" i="14"/>
  <c r="A90" i="14"/>
  <c r="A91" i="14"/>
  <c r="A92" i="14"/>
  <c r="A93" i="14"/>
  <c r="A94" i="14"/>
  <c r="A95" i="14"/>
  <c r="A96" i="14"/>
  <c r="A97" i="14"/>
  <c r="A98" i="14"/>
  <c r="A99" i="14"/>
  <c r="A100" i="14"/>
  <c r="A101" i="14"/>
  <c r="A102" i="14"/>
  <c r="A103" i="14"/>
  <c r="A104" i="14"/>
  <c r="A105" i="14"/>
  <c r="A106" i="14"/>
  <c r="A107" i="14"/>
  <c r="A108" i="14"/>
  <c r="A109" i="14"/>
  <c r="A110" i="14"/>
  <c r="A111" i="14"/>
  <c r="A112" i="14"/>
  <c r="A113" i="14"/>
  <c r="A114" i="14"/>
  <c r="A115" i="14"/>
  <c r="A116" i="14"/>
  <c r="A117" i="14"/>
  <c r="A118" i="14"/>
  <c r="A119" i="14"/>
  <c r="A120" i="14"/>
  <c r="A121" i="14"/>
  <c r="A122" i="14"/>
  <c r="A123" i="14"/>
  <c r="A124" i="14"/>
  <c r="A125" i="14"/>
  <c r="A126" i="14"/>
  <c r="A127" i="14"/>
  <c r="A128" i="14"/>
  <c r="A129" i="14"/>
  <c r="A130" i="14"/>
  <c r="A131" i="14"/>
  <c r="A132" i="14"/>
  <c r="A133" i="14"/>
  <c r="A134" i="14"/>
  <c r="A135" i="14"/>
  <c r="A136" i="14"/>
  <c r="A137" i="14"/>
  <c r="A138" i="14"/>
  <c r="A139" i="14"/>
  <c r="A140" i="14"/>
  <c r="A141" i="14"/>
  <c r="A142" i="14"/>
  <c r="A143" i="14"/>
  <c r="A144" i="14"/>
  <c r="A145" i="14"/>
  <c r="A146" i="14"/>
  <c r="A147" i="14"/>
  <c r="A148" i="14"/>
  <c r="A149" i="14"/>
  <c r="A150" i="14"/>
  <c r="A151" i="14"/>
  <c r="A152" i="14"/>
  <c r="A153" i="14"/>
  <c r="A154" i="14"/>
  <c r="A155" i="14"/>
  <c r="A156" i="14"/>
  <c r="A157" i="14"/>
  <c r="A158" i="14"/>
  <c r="A159" i="14"/>
  <c r="A160" i="14"/>
  <c r="A161" i="14"/>
  <c r="A162" i="14"/>
  <c r="A163" i="14"/>
  <c r="A164" i="14"/>
  <c r="A165" i="14"/>
  <c r="A166" i="14"/>
  <c r="A167" i="14"/>
  <c r="A168" i="14"/>
  <c r="A169" i="14"/>
  <c r="A170" i="14"/>
</calcChain>
</file>

<file path=xl/sharedStrings.xml><?xml version="1.0" encoding="utf-8"?>
<sst xmlns="http://schemas.openxmlformats.org/spreadsheetml/2006/main" count="1156" uniqueCount="523">
  <si>
    <t>字段名</t>
  </si>
  <si>
    <t>英文、驼峰命名。如'WeanponName'</t>
  </si>
  <si>
    <r>
      <rPr>
        <sz val="11"/>
        <color indexed="8"/>
        <rFont val="宋体"/>
        <family val="3"/>
        <charset val="134"/>
      </rPr>
      <t>水族馆养鱼上限+</t>
    </r>
    <r>
      <rPr>
        <sz val="11"/>
        <color indexed="8"/>
        <rFont val="宋体"/>
        <family val="3"/>
        <charset val="134"/>
      </rPr>
      <t>x</t>
    </r>
  </si>
  <si>
    <t>类型</t>
  </si>
  <si>
    <t>枚举参数：number（小数）、int(整数)、string（字符串）、key,注意：只有第一列类型可以取key。</t>
  </si>
  <si>
    <t>解锁微笑表情</t>
  </si>
  <si>
    <t>含义</t>
  </si>
  <si>
    <t>字段名的中文解释、含义说明</t>
  </si>
  <si>
    <t>解锁害羞表情</t>
  </si>
  <si>
    <t>client_use_only</t>
  </si>
  <si>
    <t>客户端专用列</t>
  </si>
  <si>
    <t>解锁卖萌表情</t>
  </si>
  <si>
    <t>解锁缠绵表情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</si>
  <si>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</si>
  <si>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同系鱼产出间隔降低x秒</t>
  </si>
  <si>
    <t>同系鱼产出量增加x次</t>
  </si>
  <si>
    <t>锁定技能持续时长提高x%</t>
  </si>
  <si>
    <t>冰冻技能持续时长提高x%</t>
  </si>
  <si>
    <t>捕鱼获得升级经验提高x%</t>
  </si>
  <si>
    <t>激光累积速度提高x%</t>
  </si>
  <si>
    <t>钻石购买金币量提高x%</t>
  </si>
  <si>
    <t>分表名含义</t>
  </si>
  <si>
    <t>ai_cfg——ai表，ai相关参数配置。</t>
  </si>
  <si>
    <t>users_cfg——角色相关参数配置。</t>
  </si>
  <si>
    <t>17 锁定</t>
  </si>
  <si>
    <t>18 冰冻</t>
  </si>
  <si>
    <t>19 召唤</t>
  </si>
  <si>
    <t>20 冰冻女神快被攻击的时候的冰冻</t>
  </si>
  <si>
    <t>21 激光</t>
  </si>
  <si>
    <t>id</t>
  </si>
  <si>
    <t>pic</t>
  </si>
  <si>
    <t>camp</t>
  </si>
  <si>
    <t>interactpic</t>
  </si>
  <si>
    <t>interactsound</t>
  </si>
  <si>
    <t>headpic</t>
  </si>
  <si>
    <t>name</t>
  </si>
  <si>
    <t>free</t>
  </si>
  <si>
    <t>opentime</t>
  </si>
  <si>
    <t>needitem</t>
  </si>
  <si>
    <t>int</t>
  </si>
  <si>
    <t>string</t>
  </si>
  <si>
    <t>table</t>
  </si>
  <si>
    <t>女神ID</t>
  </si>
  <si>
    <t>女神图片</t>
  </si>
  <si>
    <t>阵营</t>
  </si>
  <si>
    <t>互动图片</t>
  </si>
  <si>
    <t>互动配音</t>
  </si>
  <si>
    <t>女神头像</t>
  </si>
  <si>
    <t>女神名称</t>
  </si>
  <si>
    <t>免费次数</t>
  </si>
  <si>
    <t>何时开启</t>
  </si>
  <si>
    <t>解锁需要碎片</t>
  </si>
  <si>
    <t>nvshen_02</t>
  </si>
  <si>
    <t>["nvshen02_weixiao","nvshen02_maimeng","nvshen02_haixiu","nvshen02_chanmian"]</t>
  </si>
  <si>
    <t>["goddess_1_face1","goddess_1_face2","goddess_1_face3","goddess_1_face4"]</t>
  </si>
  <si>
    <t>nstxicon</t>
  </si>
  <si>
    <t>goddess_name_1</t>
  </si>
  <si>
    <t>2017/01/23&amp;00:00:00</t>
  </si>
  <si>
    <t>goddess_name_2</t>
  </si>
  <si>
    <t>goddess_name_4</t>
  </si>
  <si>
    <t>2018/05/23&amp;00:00:00</t>
  </si>
  <si>
    <t>level</t>
  </si>
  <si>
    <t>needgold</t>
  </si>
  <si>
    <t>property</t>
  </si>
  <si>
    <t>value</t>
  </si>
  <si>
    <t>description</t>
  </si>
  <si>
    <t>hp</t>
  </si>
  <si>
    <t>aquarium</t>
  </si>
  <si>
    <t>unexport</t>
  </si>
  <si>
    <t>等级</t>
  </si>
  <si>
    <t>升级需要碎片</t>
  </si>
  <si>
    <t>需要金币</t>
  </si>
  <si>
    <t>新增属性</t>
  </si>
  <si>
    <t>属性参数</t>
  </si>
  <si>
    <t>新增属性说明</t>
  </si>
  <si>
    <t>女神生命</t>
  </si>
  <si>
    <t>属性是否在水族馆显示</t>
  </si>
  <si>
    <t>名称</t>
  </si>
  <si>
    <t>[]</t>
  </si>
  <si>
    <t>fish</t>
  </si>
  <si>
    <t>treasure</t>
  </si>
  <si>
    <t>tips</t>
  </si>
  <si>
    <t>guide</t>
  </si>
  <si>
    <t>波数</t>
  </si>
  <si>
    <t>鱼[[key,间隔,伤害,总数],[key,间隔,伤害,总数]]</t>
  </si>
  <si>
    <t>关卡提示</t>
  </si>
  <si>
    <t>引导id</t>
  </si>
  <si>
    <t>defend_desc_1</t>
  </si>
  <si>
    <t>defend_desc_2</t>
  </si>
  <si>
    <t>defend_desc_3</t>
  </si>
  <si>
    <t>defend_desc_4</t>
  </si>
  <si>
    <t>defend_desc_5</t>
  </si>
  <si>
    <t>defend_desc_6</t>
  </si>
  <si>
    <t>dropid</t>
  </si>
  <si>
    <t>互动ID</t>
  </si>
  <si>
    <t>互动奖励掉落ID</t>
  </si>
  <si>
    <t>i201</t>
  </si>
  <si>
    <r>
      <t>f</t>
    </r>
    <r>
      <rPr>
        <sz val="11"/>
        <color indexed="8"/>
        <rFont val="微软雅黑"/>
        <family val="2"/>
        <charset val="134"/>
      </rPr>
      <t>loat</t>
    </r>
    <phoneticPr fontId="5" type="noConversion"/>
  </si>
  <si>
    <t>[["i700",1],["i700",1],["i700",1],["i700",1],["i700",1],["i700",1],["i700",1],["i700",1],["i700",1]]</t>
    <phoneticPr fontId="5" type="noConversion"/>
  </si>
  <si>
    <t>刷怪id</t>
    <phoneticPr fontId="5" type="noConversion"/>
  </si>
  <si>
    <t>刷怪规则</t>
    <phoneticPr fontId="5" type="noConversion"/>
  </si>
  <si>
    <t>宝箱id</t>
    <phoneticPr fontId="5" type="noConversion"/>
  </si>
  <si>
    <t>fishborn</t>
  </si>
  <si>
    <t>级别</t>
    <phoneticPr fontId="5" type="noConversion"/>
  </si>
  <si>
    <t>类型</t>
    <phoneticPr fontId="5" type="noConversion"/>
  </si>
  <si>
    <t>鱼阵</t>
  </si>
  <si>
    <t>nvshen_03</t>
  </si>
  <si>
    <t>nstxicon_1</t>
  </si>
  <si>
    <t>2017/03/23&amp;00:00:00</t>
  </si>
  <si>
    <t>[["i701",1],["i701",1],["i701",1],["i701",1],["i701",1],["i701",1],["i701",1],["i701",1],["i701",1]]</t>
    <phoneticPr fontId="5" type="noConversion"/>
  </si>
  <si>
    <t>[["haima_boss_91",1,10,1]]</t>
  </si>
  <si>
    <t>[["denglongyu_boss_91",1,30,1]]</t>
  </si>
  <si>
    <t>[["baoxiangyu_boss_91",1,50,1]]</t>
  </si>
  <si>
    <t>[["meirenyu_boss_91",1,70,1]]</t>
  </si>
  <si>
    <t>[["zhangyu_boss_91",1,90,1]]</t>
  </si>
  <si>
    <t>[["longgui_boss_91",1,110,1]]</t>
  </si>
  <si>
    <t>[["haima_boss_92",1,130,1]]</t>
  </si>
  <si>
    <t>[["denglongyu_boss_92",1,150,1]]</t>
  </si>
  <si>
    <t>[["baoxiangyu_boss_92",1,170,1]]</t>
  </si>
  <si>
    <t>[["meirenyu_boss_92",1,190,1]]</t>
  </si>
  <si>
    <t>单鱼</t>
    <phoneticPr fontId="5" type="noConversion"/>
  </si>
  <si>
    <t>[10101,10102,10103,10104,10105,20101,20102,20103,20104]</t>
  </si>
  <si>
    <t>[10201,10202,10203,10204,10205,20201,20202,20203,20204]</t>
  </si>
  <si>
    <t>[10301,10302,10303,10304,10305,20301,20302,20303,20304]</t>
  </si>
  <si>
    <t>[10401,10402,10403,10404,10405,20401,20402,20403,20404]</t>
  </si>
  <si>
    <t>[10501,10502,10503,10504,10505,20501,20502,20503,20504]</t>
  </si>
  <si>
    <t>[10601,10602,10603,10604,10605,20601,20602,20603,20604]</t>
  </si>
  <si>
    <t>[10701,10702,10703,10704,10705,20701,20702,20703,20704]</t>
  </si>
  <si>
    <t>[10801,10802,10803,10804,10805,20801,20802,20803,20804]</t>
  </si>
  <si>
    <t>[10901,10902,10903,10904,10905,20901,20902,20903,20904]</t>
  </si>
  <si>
    <t>[11001,11002,11003,11004,11005,21001,21002,21003,21004]</t>
  </si>
  <si>
    <t>[11101,11102,11103,11104,11105,21101,21102,21103,21104]</t>
  </si>
  <si>
    <t>[11201,11202,11203,11204,11205,21201,21202,21203,21204]</t>
  </si>
  <si>
    <t>[11301,11302,11303,11304,11305,21301,21302,21303,21304]</t>
  </si>
  <si>
    <t>[11401,11402,11403,21401,21402,21403,21404]</t>
    <phoneticPr fontId="5" type="noConversion"/>
  </si>
  <si>
    <t>[11501,11502,11503,21501,21502,21503,21504]</t>
    <phoneticPr fontId="5" type="noConversion"/>
  </si>
  <si>
    <t>[11601,11602,11603,21601,21602,21603,21604]</t>
    <phoneticPr fontId="5" type="noConversion"/>
  </si>
  <si>
    <t>[11701,11702,11703,21701,21702,21703,21704]</t>
    <phoneticPr fontId="5" type="noConversion"/>
  </si>
  <si>
    <t>[17, 5, "i012"]</t>
  </si>
  <si>
    <t>[19, 5, "i013"]</t>
  </si>
  <si>
    <t>[21, 5]</t>
  </si>
  <si>
    <t>[18, 7, "i011"]</t>
  </si>
  <si>
    <t>defend_desc_100</t>
    <phoneticPr fontId="5" type="noConversion"/>
  </si>
  <si>
    <t>defend_desc_101</t>
    <phoneticPr fontId="5" type="noConversion"/>
  </si>
  <si>
    <t>nvshen_04</t>
    <phoneticPr fontId="5" type="noConversion"/>
  </si>
  <si>
    <t>nstxicon_2</t>
    <phoneticPr fontId="5" type="noConversion"/>
  </si>
  <si>
    <t>goddess_name_3</t>
    <phoneticPr fontId="5" type="noConversion"/>
  </si>
  <si>
    <t>2017/03/23&amp;00:00:00</t>
    <phoneticPr fontId="5" type="noConversion"/>
  </si>
  <si>
    <t>[["i702",1],["i702",1],["i702",1],["i702",1],["i702",1],["i702",1],["i702",1],["i702",1],["i702",1]]</t>
  </si>
  <si>
    <t>[["i703",1],["i703",1],["i703",1],["i703",1],["i703",1],["i703",1],["i703",1],["i703",1],["i703",1]]</t>
  </si>
  <si>
    <t>[["i704",1],["i704",1],["i704",1],["i704",1],["i704",1],["i704",1],["i704",1],["i704",1],["i704",1]]</t>
  </si>
  <si>
    <t>[1001,2001,3001,4001,5001]</t>
  </si>
  <si>
    <t>[1002,2002,3002,4002,5002]</t>
  </si>
  <si>
    <t>[1003,2003,3003,4003,5003]</t>
  </si>
  <si>
    <t>[1004,2004,3004,4004,5004]</t>
  </si>
  <si>
    <t>[1005,2005,3005,4005,5005]</t>
  </si>
  <si>
    <t>[1011,2011,3011,4011,5011]</t>
  </si>
  <si>
    <t>[1012,2012,3012,4012,5012]</t>
  </si>
  <si>
    <t>[1013,2013,3013,4013,5013]</t>
  </si>
  <si>
    <t>[1014,2014,3014,4014,5014]</t>
  </si>
  <si>
    <t>[1015,2015,3015,4015,5015]</t>
  </si>
  <si>
    <t>[1021,2021,3021,4021,5021]</t>
  </si>
  <si>
    <t>[1022,2022,3022,4022,5022]</t>
  </si>
  <si>
    <t>[1023,2023,3023,4023,5023]</t>
  </si>
  <si>
    <t>[1024,2024,3024,4024,5024]</t>
  </si>
  <si>
    <t>[1025,2025,3025,4025,5025]</t>
  </si>
  <si>
    <t>[1031,2031,3031,4031,5031]</t>
  </si>
  <si>
    <t>[1032,2032,3032,4032,5032]</t>
  </si>
  <si>
    <t>[1033,2033,3033,4033,5033]</t>
  </si>
  <si>
    <t>[1034,2034,3034,4034,5034]</t>
  </si>
  <si>
    <t>[1035,2035,3035,4035,5035]</t>
  </si>
  <si>
    <t>[1041,2041,3041,4041,5041]</t>
  </si>
  <si>
    <t>[1042,2042,3042,4042,5042]</t>
  </si>
  <si>
    <t>[1043,2043,3043,4043,5043]</t>
  </si>
  <si>
    <t>[1044,2044,3044,4044,5044]</t>
  </si>
  <si>
    <t>[1045,2045,3045,4045,5045]</t>
  </si>
  <si>
    <t>[1051,2051,3051,4051,5051]</t>
  </si>
  <si>
    <t>[1052,2052,3052,4052,5052]</t>
  </si>
  <si>
    <t>[1053,2053,3053,4053,5053]</t>
  </si>
  <si>
    <t>[1054,2054,3054,4054,5054]</t>
  </si>
  <si>
    <t>[1055,2055,3055,4055,5055]</t>
  </si>
  <si>
    <t>[1061,2061,3061,4061,5061]</t>
  </si>
  <si>
    <t>[1062,2062,3062,4062,5062]</t>
  </si>
  <si>
    <t>[1063,2063,3063,4063,5063]</t>
  </si>
  <si>
    <t>[1064,2064,3064,4064,5064]</t>
  </si>
  <si>
    <t>[1065,2065,3065,4065,5065]</t>
  </si>
  <si>
    <t>[1071,2071,3071,4071,5071]</t>
  </si>
  <si>
    <t>[1072,2072,3072,4072,5072]</t>
  </si>
  <si>
    <t>[1073,2073,3073,4073,5073]</t>
  </si>
  <si>
    <t>[1074,2074,3074,4074,5074]</t>
  </si>
  <si>
    <t>[1075,2075,3075,4075,5075]</t>
  </si>
  <si>
    <t>[1101,2101,3101,4101,5101]</t>
  </si>
  <si>
    <t>[1102,2102,3102,4102,5102]</t>
  </si>
  <si>
    <t>[1103,2103,3103,4103,5103]</t>
  </si>
  <si>
    <t>[1104,2104,3104,4104,5104]</t>
  </si>
  <si>
    <t>[1105,2105,3105,4105,5105]</t>
  </si>
  <si>
    <t>[1111,2111,3111,4111,5111]</t>
  </si>
  <si>
    <t>[1112,2112,3112,4112,5112]</t>
  </si>
  <si>
    <t>[1113,2113,3113,4113,5113]</t>
  </si>
  <si>
    <t>[1114,2114,3114,4114,5114]</t>
  </si>
  <si>
    <t>[1115,2115,3115,4115,5115]</t>
  </si>
  <si>
    <t>[1121,2121,3121,4121,5121]</t>
  </si>
  <si>
    <t>[1122,2122,3122,4122,5122]</t>
  </si>
  <si>
    <t>[1123,2123,3123,4123,5123]</t>
  </si>
  <si>
    <t>[1124,2124,3124,4124,5124]</t>
  </si>
  <si>
    <t>[1125,2125,3125,4125,5125]</t>
  </si>
  <si>
    <t>[1131,2131,3131,4131,5131]</t>
  </si>
  <si>
    <t>[1132,2132,3132,4132,5132]</t>
  </si>
  <si>
    <t>[1133,2133,3133,4133,5133]</t>
  </si>
  <si>
    <t>[1134,2134,3134,4134,5134]</t>
  </si>
  <si>
    <t>[1135,2135,3135,4135,5135]</t>
  </si>
  <si>
    <t>[1141,2141,3141,4141,5141]</t>
  </si>
  <si>
    <t>[1142,2142,3142,4142,5142]</t>
  </si>
  <si>
    <t>[1143,2143,3143,4143,5143]</t>
  </si>
  <si>
    <t>[1144,2144,3144,4144,5144]</t>
  </si>
  <si>
    <t>[1145,2145,3145,4145,5145]</t>
  </si>
  <si>
    <t>[1151,2151,3151,4151,5151]</t>
  </si>
  <si>
    <t>[1152,2152,3152,4152,5152]</t>
  </si>
  <si>
    <t>[1153,2153,3153,4153,5153]</t>
  </si>
  <si>
    <t>[1154,2154,3154,4154,5154]</t>
  </si>
  <si>
    <t>[1155,2155,3155,4155,5155]</t>
  </si>
  <si>
    <t>[1161,2161,3161,4161,5161]</t>
  </si>
  <si>
    <t>[1162,2162,3162,4162,5162]</t>
  </si>
  <si>
    <t>[1163,2163,3163,4163,5163]</t>
  </si>
  <si>
    <t>[1164,2164,3164,4164,5164]</t>
  </si>
  <si>
    <t>[1165,2165,3165,4165,5165]</t>
  </si>
  <si>
    <t>[1171,2171,3171,4171,5171]</t>
  </si>
  <si>
    <t>[1172,2172,3172,4172,5172]</t>
  </si>
  <si>
    <t>[1173,2173,3173,4173,5173]</t>
  </si>
  <si>
    <t>[1174,2174,3174,4174,5174]</t>
  </si>
  <si>
    <t>[1175,2175,3175,4175,5175]</t>
  </si>
  <si>
    <t>[1201,2201,3201,4201,5201]</t>
  </si>
  <si>
    <t>[1202,2202,3202,4202,5202]</t>
  </si>
  <si>
    <t>[1203,2203,3203,4203,5203]</t>
  </si>
  <si>
    <t>[1204,2204,3204,4204,5204]</t>
  </si>
  <si>
    <t>[1205,2205,3205,4205,5205]</t>
  </si>
  <si>
    <t>[1211,2211,3211,4211,5211]</t>
  </si>
  <si>
    <t>[1212,2212,3212,4212,5212]</t>
  </si>
  <si>
    <t>[1213,2213,3213,4213,5213]</t>
  </si>
  <si>
    <t>[1214,2214,3214,4214,5214]</t>
  </si>
  <si>
    <t>[1215,2215,3215,4215,5215]</t>
  </si>
  <si>
    <t>["i701",20]</t>
  </si>
  <si>
    <t>["i701",40]</t>
  </si>
  <si>
    <t>["i701",1000]</t>
  </si>
  <si>
    <t>["i702",20]</t>
  </si>
  <si>
    <t>["i702",40]</t>
  </si>
  <si>
    <t>["i702",1000]</t>
  </si>
  <si>
    <t>interval</t>
    <phoneticPr fontId="5" type="noConversion"/>
  </si>
  <si>
    <t>weekreward</t>
    <phoneticPr fontId="5" type="noConversion"/>
  </si>
  <si>
    <t>table</t>
    <phoneticPr fontId="5" type="noConversion"/>
  </si>
  <si>
    <t>周奖励宝箱</t>
    <phoneticPr fontId="5" type="noConversion"/>
  </si>
  <si>
    <t>[["haima_boss_93",1,250,1],["dabaisha_jj_9_3",2,25,45],["shuimu_jj_9_3",2,25,45]]</t>
  </si>
  <si>
    <t>[["denglongyu_boss_93",1,270,1],["dabaisha_jj_9_3",2,30,39],["chuitousha_9_3",2,30,39]]</t>
  </si>
  <si>
    <t>[["meirenyu_boss_93",1,310,1],["moguiyu_hong_9_3",2,35,45],["dabaisha_jj_9_3",2,35,45]]</t>
  </si>
  <si>
    <t>[["zhangyu_boss_93",1,330,1],["moguiyu_jj_9_3",2,40,40],["moguiyu_lan_9_3",2,40,40]]</t>
  </si>
  <si>
    <t>[["meirenyu_boss_93",1,310,1],["moguiyu_hong_9_3",2,45,65],["dabaisha_jj_9_3",2,45,65]]</t>
  </si>
  <si>
    <t>[["longgui_boss_93",1,350,1],["hujing_9_3",2,50,45],["moguiyu_jj_9_3",2,50,45]]</t>
  </si>
  <si>
    <t>[21801,21802,21803,21804]</t>
    <phoneticPr fontId="5" type="noConversion"/>
  </si>
  <si>
    <t>[21901]</t>
  </si>
  <si>
    <t>[21902]</t>
  </si>
  <si>
    <t>[21903]</t>
  </si>
  <si>
    <t>[21904]</t>
  </si>
  <si>
    <t>[21905]</t>
  </si>
  <si>
    <t>[22001]</t>
  </si>
  <si>
    <t>[22002]</t>
  </si>
  <si>
    <t>[22003]</t>
  </si>
  <si>
    <t>[22004]</t>
  </si>
  <si>
    <t>[22005]</t>
  </si>
  <si>
    <t>[22101]</t>
  </si>
  <si>
    <t>[22102]</t>
  </si>
  <si>
    <t>[22103]</t>
  </si>
  <si>
    <t>[22104]</t>
  </si>
  <si>
    <t>[22105]</t>
  </si>
  <si>
    <t>[22201]</t>
  </si>
  <si>
    <t>[22202]</t>
  </si>
  <si>
    <t>[22203]</t>
  </si>
  <si>
    <t>[22204]</t>
  </si>
  <si>
    <t>[22205]</t>
  </si>
  <si>
    <t>[22301]</t>
  </si>
  <si>
    <t>[22302]</t>
  </si>
  <si>
    <t>[22303]</t>
  </si>
  <si>
    <t>[22304]</t>
  </si>
  <si>
    <t>[22305]</t>
  </si>
  <si>
    <t>[22401]</t>
  </si>
  <si>
    <t>[22402]</t>
  </si>
  <si>
    <t>[22403]</t>
  </si>
  <si>
    <t>[22404]</t>
  </si>
  <si>
    <t>[22405]</t>
  </si>
  <si>
    <t>[["denglongyu_boss_93",1,250,1],["dabaisha_jj_9_3",2,25,45],["shuimu_jj_9_3",2,25,45]]</t>
  </si>
  <si>
    <t>[["meirenyu_boss_93",1,250,1],["dabaisha_jj_9_3",2,25,40],["shuimu_jj_9_3",2,25,40]]</t>
  </si>
  <si>
    <t>[["zhangyu_boss_93",1,250,1],["dabaisha_jj_9_3",2,25,38],["shuimu_jj_9_3",2,25,38]]</t>
  </si>
  <si>
    <t>[["longgui_boss_93",1,250,1],["dabaisha_jj_9_3",2,25,36],["shuimu_jj_9_3",2,25,36]]</t>
  </si>
  <si>
    <t>[["haima_boss_93",1,270,1],["dabaisha_jj_9_3",2,30,40],["chuitousha_9_3",2,30,40]]</t>
  </si>
  <si>
    <t>[["meirenyu_boss_93",1,270,1],["dabaisha_jj_9_3",2,30,35],["chuitousha_9_3",2,30,35]]</t>
  </si>
  <si>
    <t>[["zhangyu_boss_93",1,270,1],["dabaisha_jj_9_3",2,30,33],["chuitousha_9_3",2,30,33]]</t>
  </si>
  <si>
    <t>[["longgui_boss_93",1,270,1],["dabaisha_jj_9_3",2,30,32],["chuitousha_9_3",2,30,32]]</t>
  </si>
  <si>
    <t>[["haima_boss_93",1,310,1],["moguiyu_hong_9_3",2,35,50],["dabaisha_jj_9_3",2,35,50]]</t>
  </si>
  <si>
    <t>[["denglongyu_boss_93",1,310,1],["moguiyu_hong_9_3",2,35,50],["dabaisha_jj_9_3",2,35,50]]</t>
  </si>
  <si>
    <t>[["zhangyu_boss_93",1,310,1],["moguiyu_hong_9_3",2,35,45],["dabaisha_jj_9_3",2,35,45]]</t>
  </si>
  <si>
    <t>[["longgui_boss_93",1,310,1],["moguiyu_hong_9_3",2,35,45],["dabaisha_jj_9_3",2,35,45]]</t>
  </si>
  <si>
    <t>[["haima_boss_93",1,330,1],["moguiyu_jj_9_3",2,40,40],["moguiyu_lan_9_3",2,40,40]]</t>
  </si>
  <si>
    <t>[["denglongyu_boss_93",1,330,1],["moguiyu_jj_9_3",2,40,40],["moguiyu_lan_9_3",2,40,40]]</t>
  </si>
  <si>
    <t>[["meirenyu_boss_93",1,330,1],["moguiyu_jj_9_3",2,40,40],["moguiyu_lan_9_3",2,40,40]]</t>
  </si>
  <si>
    <t>[["longgui_boss_93",1,330,1],["moguiyu_jj_9_3",2,40,40],["moguiyu_lan_9_3",2,40,40]]</t>
  </si>
  <si>
    <t>[["haima_boss_93",1,310,1],["moguiyu_hong_9_3",2,45,70],["dabaisha_jj_9_3",2,45,70]]</t>
  </si>
  <si>
    <t>[["denglongyu_boss_93",1,310,1],["moguiyu_hong_9_3",2,45,70],["dabaisha_jj_9_3",2,45,70]]</t>
  </si>
  <si>
    <t>[["zhangyu_boss_93",1,310,1],["moguiyu_hong_9_3",2,45,65],["dabaisha_jj_9_3",2,45,65]]</t>
  </si>
  <si>
    <t>[["longgui_boss_93",1,310,1],["moguiyu_hong_9_3",2,45,65],["dabaisha_jj_9_3",2,45,65]]</t>
  </si>
  <si>
    <t>[["haima_boss_93",1,350,1],["hujing_9_3",2,50,45],["moguiyu_jj_9_3",2,50,45]]</t>
  </si>
  <si>
    <t>[["denglongyu_boss_93",1,350,1],["hujing_9_3",2,50,45],["moguiyu_jj_9_3",2,50,45]]</t>
  </si>
  <si>
    <t>[["meirenyu_boss_93",1,350,1],["hujing_9_3",2,50,45],["moguiyu_jj_9_3",2,50,45]]</t>
  </si>
  <si>
    <t>[["zhangyu_boss_93",1,350,1],["hujing_9_3",2,50,45],["moguiyu_jj_9_3",2,50,45]]</t>
  </si>
  <si>
    <t>最低关卡要求</t>
    <phoneticPr fontId="5" type="noConversion"/>
  </si>
  <si>
    <t>int</t>
    <phoneticPr fontId="5" type="noConversion"/>
  </si>
  <si>
    <t>limit</t>
    <phoneticPr fontId="5" type="noConversion"/>
  </si>
  <si>
    <t>[["g_footmarkd_json",15,1,1]]</t>
  </si>
  <si>
    <t>[["g_xuanfeng1_json",15,1,1]]</t>
  </si>
  <si>
    <t>[["g_kaochuan1_json",15,2,1]]</t>
  </si>
  <si>
    <t>[["g_fish1_json",15,1,1]]</t>
  </si>
  <si>
    <t>[["g_yutou1_json",15,2,1]]</t>
  </si>
  <si>
    <t>[["g_a2_json",15,15,1]]</t>
  </si>
  <si>
    <t>[["g_chidouren1_json",15,2,1]]</t>
  </si>
  <si>
    <t>[["g_footmarku_json",15,1,1]]</t>
  </si>
  <si>
    <t>[["g_heart_1_json",15,2,1]]</t>
  </si>
  <si>
    <t>[["g_yutou2_json",15,3,1]]</t>
  </si>
  <si>
    <t>[["g_jiong1_json",15,2,1]]</t>
  </si>
  <si>
    <t>[["g_apple1_json",15,3,1]]</t>
  </si>
  <si>
    <t>[["g_kaochuan2_json",15,7,1]]</t>
  </si>
  <si>
    <t>[["g_fish2_json",15,4,1]]</t>
  </si>
  <si>
    <t>[["g_yutou4_json",15,6,1]]</t>
  </si>
  <si>
    <t>[["g_bagua1_json",15,3,1]]</t>
  </si>
  <si>
    <t>[["g_chidouren3_json",15,4,1]]</t>
  </si>
  <si>
    <t>[["g_huan_hg_json",15,9,1]]</t>
  </si>
  <si>
    <t>[["g_footmarku2_json",15,2,1]]</t>
  </si>
  <si>
    <t>[["g_nacui3_json",15,7,1]]</t>
  </si>
  <si>
    <t>[["g_a6_json",15,38,1]]</t>
  </si>
  <si>
    <t>[["g_chidouren2_json",15,5,1]]</t>
  </si>
  <si>
    <t>[["g_huan_ht1_json",15,12,1]]</t>
  </si>
  <si>
    <t>[["g_footmarkd2_json",15,3,1]]</t>
  </si>
  <si>
    <t>[["g_heart_3_json",15,5,1]]</t>
  </si>
  <si>
    <t>[["g_bagua2_json",15,4,1]]</t>
  </si>
  <si>
    <t>[["g_jiong3_json",15,5,1]]</t>
  </si>
  <si>
    <t>[["g_10zhen_ppsy_json",15,21,1]]</t>
  </si>
  <si>
    <t>[["g_apple2_json",15,5,1]]</t>
  </si>
  <si>
    <t>[["g_fish3_json",15,6,1]]</t>
  </si>
  <si>
    <t>[["g_a9_json",15,60,1]]</t>
  </si>
  <si>
    <t>[["g_chidouren6_json",15,8,1]]</t>
  </si>
  <si>
    <t>[["g_heart_6_json",15,8,1]]</t>
  </si>
  <si>
    <t>[["g_xuanfeng6_json",15,7,1]]</t>
  </si>
  <si>
    <t>[["g_huan_yuan3_json",15,18,1]]</t>
  </si>
  <si>
    <t>[["g_bagua6_json",15,5,1]]</t>
  </si>
  <si>
    <t>[["g_car1_json",15,3,1]]</t>
  </si>
  <si>
    <t>[["g_car3_json",15,3,1]]</t>
  </si>
  <si>
    <t>[["g_nacui6_json",15,16,1]]</t>
  </si>
  <si>
    <t>[["g_xuanfeng7_json",15,7,1]]</t>
  </si>
  <si>
    <t>[["g_a10_json",15,68,2]]</t>
  </si>
  <si>
    <t>[["g_bagua8_json",15,5,2]]</t>
  </si>
  <si>
    <t>[["g_chidouren5_json",15,10,1]]</t>
  </si>
  <si>
    <t>[["g_nacui5_json",15,19,2]]</t>
  </si>
  <si>
    <t>[["g_yutou9_json",15,15,2]]</t>
  </si>
  <si>
    <t>[["g_16zhen_jjhaitun_json",15,36,2]]</t>
  </si>
  <si>
    <t>[["g_elephant1_json",15,4,2]]</t>
  </si>
  <si>
    <t>[["g_10zhen_mgy_json",15,23,2]]</t>
  </si>
  <si>
    <t>[["g_apple3_json",15,13,2]]</t>
  </si>
  <si>
    <t>[["g_xuanfeng8_json",15,11,2]]</t>
  </si>
  <si>
    <t>[["g_bagua10_json",15,8,3]]</t>
  </si>
  <si>
    <t>[["g_car2_json",15,5,3]]</t>
  </si>
  <si>
    <t>[["g_chidouren7_json",15,12,3]]</t>
  </si>
  <si>
    <t>[["g_nacui4_json",15,21,3]]</t>
  </si>
  <si>
    <t>[["g_heart_4_json",15,14,3]]</t>
  </si>
  <si>
    <t>[["g_10zhen_hujing_json",15,42,3]]</t>
  </si>
  <si>
    <t>[["g_jiong2_json",15,11,3]]</t>
  </si>
  <si>
    <t>[["g_nacui1_json",15,23,3]]</t>
  </si>
  <si>
    <t>[["g_fish6_json",15,13,3]]</t>
  </si>
  <si>
    <t>[["g_bagua3_json",15,9,3]]</t>
  </si>
  <si>
    <t>[["g_chidouren8_json",15,16,3]]</t>
  </si>
  <si>
    <t>[["g_jiong5_json",15,11,3]]</t>
  </si>
  <si>
    <t>[["g_huan_mgy2_json",15,35,3]]</t>
  </si>
  <si>
    <t>[["g_car4_json",15,6,4]]</t>
  </si>
  <si>
    <t>[["g_footmarkd3_json",15,10,4]]</t>
  </si>
  <si>
    <t>[["g_apple4_json",15,17,4]]</t>
  </si>
  <si>
    <t>[["g_chidouren4_json",15,17,4]]</t>
  </si>
  <si>
    <t>[["g_elephant2_json",15,6,3]]</t>
  </si>
  <si>
    <t>[["g_xuanfeng2_json",15,15,4]]</t>
  </si>
  <si>
    <t>最低排名要求</t>
    <phoneticPr fontId="5" type="noConversion"/>
  </si>
  <si>
    <t>[["g_jiong4_json",15,7,2]]</t>
  </si>
  <si>
    <t>[["g_huan_mgy_json",15,21,2]]</t>
  </si>
  <si>
    <t>[["g_nacui7_json",15,16,2]]</t>
  </si>
  <si>
    <t>[["g_heart_5_json",15,9,2]]</t>
  </si>
  <si>
    <t>[["g_huan_yuan4_json",15,21,2]]</t>
  </si>
  <si>
    <t>[["g_xuanfeng5_json",15,12,2]]</t>
  </si>
  <si>
    <t>[["g_footmarku3_json",15,10,2]]</t>
  </si>
  <si>
    <t>[["g_heart_2_json",15,16,4]]</t>
  </si>
  <si>
    <t>[["jinqiangyu_9",0.27,1,50]]</t>
  </si>
  <si>
    <t>[["caomeiyu_9",0.27,1,50]]</t>
  </si>
  <si>
    <t>[["jinqiangyu_9_2",0.486,1,24],["caomeiyu_9_2",0.486,1,24]]</t>
  </si>
  <si>
    <t>[["jinqiangyu_9_3",0.8748,1,23],["caomeiyu_9_3",0.8748,1,23],["shuangshengyu_jj_9_1",5.03,4,3]]</t>
  </si>
  <si>
    <t>[["shuijingyu_9",0.28125,3,25]]</t>
  </si>
  <si>
    <t>[["xiaochouyu_huang_9",0.28125,3,25]]</t>
  </si>
  <si>
    <t>[["shuijingyu_9_2",0.50625,3,13],["xiaochouyu_huang_9_2",0.50625,3,13]]</t>
  </si>
  <si>
    <t>[["shuijingyu_9_3",0.91125,3,10],["xiaochouyu_huang_9_3",0.91125,3,10],["shuangshengyu_jj_9_2",2.28,12,3]]</t>
  </si>
  <si>
    <t>[["cheqiyu_9",0.325,5,35]]</t>
  </si>
  <si>
    <t>[["feicuiyu_9",0.325,5,35]]</t>
  </si>
  <si>
    <t>[["cheqiyu_9_2",0.585,5,20],["feicuiyu_9_2",0.585,5,20]]</t>
  </si>
  <si>
    <t>[["cheqiyu_9_3",1.053,5,20],["feicuiyu_9_3",1.053,5,20],["shuangshengyu_jj_9_3",5.27,20,3]]</t>
  </si>
  <si>
    <t>[["xiaochouyu_lan_9",0.3375,7,45]]</t>
  </si>
  <si>
    <t>[["duanhuibiyu_huang_9",0.3375,7,16]]</t>
  </si>
  <si>
    <t>[["xiaochouyu_lan_9_2",0.6075,7,12],["duanhuibiyu_huang_9_2",0.6075,7,12]]</t>
  </si>
  <si>
    <t>[["xiaochouyu_lan_9_3",1.0935,7,10],["duanhuibiyu_huang_9_3",1.0935,7,10],["shuangshengyu_jj_9_4",2.73,28,3]]</t>
  </si>
  <si>
    <t>[["baoshiyu_lan_9",0.455,9,25]]</t>
  </si>
  <si>
    <t>[["duanhuibiyu_lan_9",0.455,9,25]]</t>
  </si>
  <si>
    <t>[["baoshiyu_lan_9_2",0.819,9,15],["duanhuibiyu_lan_9_2",0.819,9,15]]</t>
  </si>
  <si>
    <t>[["baoshiyu_lan_9_3",1.4742,9,12],["duanhuibiyu_lan_9_3",1.4742,9,12],["shuangshengyu_jj_9_5",4.42,36,3]]</t>
  </si>
  <si>
    <t>[["baoshiyu_zi_9",0.47125,11,30]]</t>
  </si>
  <si>
    <t>[["jiaodie_huang_9",0.47125,11,22]]</t>
  </si>
  <si>
    <t>[["baoshiyu_zi_9_2",0.84825,11,15],["jiaodie_huang_9_2",0.84825,11,15]]</t>
  </si>
  <si>
    <t>[["baoshiyu_zi_9_3",1.52685,11,8],["jiaodie_huang_9_3",1.52685,11,8],["shuangshengyu_jj_9_6",3.05,44,3]]</t>
  </si>
  <si>
    <t>[["hetun_huang_9",0.4875,13,25]]</t>
  </si>
  <si>
    <t>[["jiaodie_lan_9",0.4875,13,25]]</t>
  </si>
  <si>
    <t>[["hetun_huang_9_2",0.8775,13,15],["jiaodie_lan_9_2",0.8775,13,15]]</t>
  </si>
  <si>
    <t>[["hetun_huang_9_3",1.5795,13,8],["jiaodie_lan_9_3",1.5795,13,8],["sanshengyu_jj_9_1",3.16,52,3]]</t>
  </si>
  <si>
    <t>[["hetun_lan_9",0.5425,15,33]]</t>
  </si>
  <si>
    <t>[["diaoyu_9",0.5425,15,24]]</t>
  </si>
  <si>
    <t>[["hetun_lan_9_2",0.9765,15,13],["diaoyu_9_2",0.9765,15,13]]</t>
  </si>
  <si>
    <t>[["hetun_lan_9_3",1.7577,15,11],["diaoyu_9_3",1.7577,15,11],["sanshengyu_jj_9_2",4.83,60,3]]</t>
  </si>
  <si>
    <t>[["jianyu_9",0.56,17,27]]</t>
  </si>
  <si>
    <t>[["dinianyu_lan_9",0.56,17,19]]</t>
  </si>
  <si>
    <t>[["jianyu_9_2",1.008,17,12],["dinianyu_lan_9_2",1.008,17,12]]</t>
  </si>
  <si>
    <t>[["jianyu_9_3",1.8144,17,12],["dinianyu_lan_9_3",1.8144,17,12],["sanshengyu_jj_9_3",5.44,68,3]]</t>
  </si>
  <si>
    <t>[["haigui_9",0.61875,19,30]]</t>
  </si>
  <si>
    <t>[["dinianyu_zi_9",0.61875,19,20]]</t>
  </si>
  <si>
    <t>[["haigui_9_2",1.11375,19,15],["dinianyu_zi_9_2",1.11375,19,15]]</t>
  </si>
  <si>
    <t>[["haigui_9_3",2.00475,19,25],["dinianyu_zi_9_3",2.00475,19,25],["sanshengyu_jj_9_4",12.53,76,3]]</t>
  </si>
  <si>
    <t>[["shuimu_lan_9",0.65625,23,80]]</t>
  </si>
  <si>
    <t>[["cheqiyu_jj_9",0.72,25,80]]</t>
  </si>
  <si>
    <t>[["pipashuyu_9",0.72,25,90]]</t>
  </si>
  <si>
    <t>[["cheqiyu_jj_9_2",1.296,25,55],["pipashuyu_9_2",1.296,25,55]]</t>
  </si>
  <si>
    <t>[["cheqiyu_jj_9_3",2.3328,25,40],["pipashuyu_9_3",2.3328,25,40],["suolianyu_jj_9_2",8.48,100,10]]</t>
  </si>
  <si>
    <t>[["haitun_9",0.74,27,80]]</t>
  </si>
  <si>
    <t>[["shuimu_jj_9",0.74,27,80]]</t>
  </si>
  <si>
    <t>[["haitun_9_2",1.332,27,50],["shuimu_jj_9_2",1.332,27,50]]</t>
  </si>
  <si>
    <t>[["haitun_9_3",2.3976,27,33],["shuimu_jj_9_3",2.3976,27,33],["suolianyu_jj_9_3",5.65,108,13]]</t>
  </si>
  <si>
    <t>[["dabaisha_9",0.855,29,90]]</t>
  </si>
  <si>
    <t>[["haitun_jj_9",0.855,29,80]]</t>
  </si>
  <si>
    <t>[["dabaisha_9_2",1.539,29,50],["haitun_jj_9_2",1.539,29,50]]</t>
  </si>
  <si>
    <t>[["dabaisha_9_3",2.7702,29,39],["haitun_jj_9_3",2.7702,29,39],["dapanyu_jj_9_1",10.8,116,9]]</t>
  </si>
  <si>
    <t>[["moguiyu_lan_9",0.92625,31,80]]</t>
  </si>
  <si>
    <t>[["moguiyu_hong_9",0.92625,31,80]]</t>
  </si>
  <si>
    <t>[["moguiyu_lan_9_2",1.66725,31,55],["moguiyu_hong_9_2",1.66725,31,55]]</t>
  </si>
  <si>
    <t>[["moguiyu_lan_9_3",3.00105,31,42],["moguiyu_hong_9_3",3.00105,31,42],["dapanyu_jj_9_2",11.46,124,10]]</t>
  </si>
  <si>
    <t>[["dabaisha_jj_9",1,33,80]]</t>
  </si>
  <si>
    <t>[["chuitousha_9",1,33,80]]</t>
  </si>
  <si>
    <t>[["dabaisha_jj_9_2",1.8,33,45],["chuitousha_9_2",1.8,33,45]]</t>
  </si>
  <si>
    <t>[["dabaisha_jj_9_3",3.24,33,40],["chuitousha_9_3",3.24,33,40],["dapanyu_jj_9_3",14.4,132,8]]</t>
  </si>
  <si>
    <t>[["hujing_9",1.1275,35,65]]</t>
  </si>
  <si>
    <t>[["moguiyu_jj_9",1.1275,35,55]]</t>
  </si>
  <si>
    <t>[["hujing_9_2",2.0295,35,30],["moguiyu_jj_9_2",2.0295,35,30]]</t>
  </si>
  <si>
    <t>[["hujing_9_3",3.6531,35,30],["moguiyu_jj_9_3",3.6531,35,30],["dapanyu_jj_9_4",27.4,140,3]]</t>
  </si>
  <si>
    <t>魅力</t>
    <phoneticPr fontId="5" type="noConversion"/>
  </si>
  <si>
    <t>charm</t>
    <phoneticPr fontId="5" type="noConversion"/>
  </si>
  <si>
    <t>int</t>
    <phoneticPr fontId="5" type="noConversion"/>
  </si>
  <si>
    <t>[["shuimu_9",0.6375,21,26]]</t>
  </si>
  <si>
    <t>[["baofangfu_lan_9",0.4675,21,60]]</t>
  </si>
  <si>
    <t>[["shuimu_9_2",0.8415,21,45],["baofangfu_lan_9_2",0.8415,21,45]]</t>
  </si>
  <si>
    <t>[["shuimu_9_3",1.5147,21,45],["baofangfu_lan_9_3",1.5147,21,45],["sanshengyu_jj_9_5",5.24,84,12]]</t>
  </si>
  <si>
    <t>[["baofangfu_zi_9",0.35,23,120]]</t>
  </si>
  <si>
    <t>[["shuimu_lan_9_2",0.63,23,70],["baofangfu_zi_9_2",0.63,23,70]]</t>
  </si>
  <si>
    <t>[["shuimu_lan_9_3",1.134,23,46],["baofangfu_zi_9_3",1.134,23,46],["suolianyu_jj_9_1",3.73,92,13]]</t>
  </si>
  <si>
    <t>[["zhangyu_boss_92",1,210,1],["haitun_9",0,21,40]]</t>
  </si>
  <si>
    <t>[["longgui_boss_92",1,230,1],["dabaisha_9",0,23,40]]</t>
  </si>
  <si>
    <t>[["haima_boss_93",1,250,1],["dabaisha_9",0,25,40]]</t>
  </si>
  <si>
    <t>[["denglongyu_boss_93",1,270,1],["haitun_9",0,27,50]]</t>
  </si>
  <si>
    <t>[["baoxiangyu_boss_93",1,290,1],["shuimu_jj_9",0,29,60]]</t>
  </si>
  <si>
    <t>[["meirenyu_boss_93",1,310,1],["dabaisha_jj_9",0,31,40]]</t>
  </si>
  <si>
    <t>[["zhangyu_boss_93",1,330,1],["hujing_9",0,33,35]]</t>
  </si>
  <si>
    <t>[["longgui_boss_93",1,350,1],["moguiyu_jj_9",0,35,30]]</t>
  </si>
  <si>
    <t>["i701",200]</t>
  </si>
  <si>
    <t>["i702",200]</t>
  </si>
  <si>
    <t>["i703",20]</t>
  </si>
  <si>
    <t>["i703",40]</t>
  </si>
  <si>
    <t>["i703",200]</t>
  </si>
  <si>
    <t>["i703",1000]</t>
  </si>
  <si>
    <t>["i700",10]</t>
    <phoneticPr fontId="5" type="noConversion"/>
  </si>
  <si>
    <t>["i700",20]</t>
    <phoneticPr fontId="5" type="noConversion"/>
  </si>
  <si>
    <t>["i700",40]</t>
    <phoneticPr fontId="5" type="noConversion"/>
  </si>
  <si>
    <t>["i700",100]</t>
    <phoneticPr fontId="5" type="noConversion"/>
  </si>
  <si>
    <t>["i700",200]</t>
    <phoneticPr fontId="5" type="noConversion"/>
  </si>
  <si>
    <t>["i700",1800]</t>
    <phoneticPr fontId="5" type="noConversion"/>
  </si>
  <si>
    <t>["i700",60]</t>
    <phoneticPr fontId="5" type="noConversion"/>
  </si>
  <si>
    <t>["i700",500]</t>
    <phoneticPr fontId="5" type="noConversion"/>
  </si>
  <si>
    <t>["i700",1000]</t>
    <phoneticPr fontId="5" type="noConversion"/>
  </si>
  <si>
    <t>["i700",2600]</t>
    <phoneticPr fontId="5" type="noConversion"/>
  </si>
  <si>
    <t>["i700",3600]</t>
    <phoneticPr fontId="5" type="noConversion"/>
  </si>
  <si>
    <t>["i701",10]</t>
  </si>
  <si>
    <t>["i701",60]</t>
  </si>
  <si>
    <t>["i701",100]</t>
  </si>
  <si>
    <t>["i701",500]</t>
  </si>
  <si>
    <t>["i701",1800]</t>
  </si>
  <si>
    <t>["i701",2600]</t>
  </si>
  <si>
    <t>["i701",3600]</t>
  </si>
  <si>
    <t>["i702",10]</t>
  </si>
  <si>
    <t>["i702",60]</t>
  </si>
  <si>
    <t>["i702",100]</t>
  </si>
  <si>
    <t>["i702",500]</t>
  </si>
  <si>
    <t>["i702",1800]</t>
  </si>
  <si>
    <t>["i702",2600]</t>
  </si>
  <si>
    <t>["i702",3600]</t>
  </si>
  <si>
    <t>["i703",10]</t>
  </si>
  <si>
    <t>["i703",60]</t>
  </si>
  <si>
    <t>["i703",100]</t>
  </si>
  <si>
    <t>["i703",500]</t>
  </si>
  <si>
    <t>["i703",1800]</t>
  </si>
  <si>
    <t>["i703",2600]</t>
  </si>
  <si>
    <t>["i703",3600]</t>
  </si>
  <si>
    <t>nvshen_05</t>
    <phoneticPr fontId="5" type="noConversion"/>
  </si>
  <si>
    <t>nstxicon_3</t>
    <phoneticPr fontId="5" type="noConversion"/>
  </si>
  <si>
    <t>2017/04/23&amp;00:00:00</t>
    <phoneticPr fontId="5" type="noConversion"/>
  </si>
  <si>
    <t>goddess_name_5</t>
    <phoneticPr fontId="5" type="noConversion"/>
  </si>
  <si>
    <t>["nvshen03_weixiao","nvshen03_maimeng","nvshen03_haixiu","nvshen03_chanmian","nvshen03_stand"]</t>
    <phoneticPr fontId="5" type="noConversion"/>
  </si>
  <si>
    <t>["nvshen02_weixiao","nvshen02_maimeng","nvshen02_haixiu","nvshen02_chanmian","nvshen02_stand"]</t>
    <phoneticPr fontId="5" type="noConversion"/>
  </si>
  <si>
    <t>["nvshen04_weixiao","nvshen04_maimeng","nvshen04_haixiu","nvshen04_chanmian","nvshen04_stand"]</t>
    <phoneticPr fontId="5" type="noConversion"/>
  </si>
  <si>
    <t>["nvshen05_weixiao","nvshen05_maimeng","nvshen05_haixiu","nvshen05_chanmian","nvshen05_stand"]</t>
    <phoneticPr fontId="5" type="noConversion"/>
  </si>
  <si>
    <t>[["i002",1],["i001",1]]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</si>
</sst>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sz val="10"/>
      <color indexed="8"/>
      <name val="宋体"/>
      <family val="3"/>
      <charset val="134"/>
    </font>
    <font>
      <sz val="10"/>
      <color indexed="8"/>
      <name val="微软雅黑"/>
      <family val="2"/>
      <charset val="134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1"/>
      <color indexed="8"/>
      <name val="微软雅黑"/>
      <family val="2"/>
      <charset val="134"/>
    </font>
    <font>
      <sz val="11"/>
      <color indexed="8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 applyAlignment="1"/>
    <xf numFmtId="49" fontId="1" fillId="2" borderId="1" xfId="0" applyNumberFormat="1" applyFont="1" applyFill="1" applyBorder="1" applyAlignment="1">
      <alignment horizontal="center"/>
    </xf>
    <xf numFmtId="49" fontId="1" fillId="3" borderId="2" xfId="0" applyNumberFormat="1" applyFont="1" applyFill="1" applyBorder="1" applyAlignment="1">
      <alignment horizontal="center" vertical="center"/>
    </xf>
    <xf numFmtId="0" fontId="2" fillId="0" borderId="0" xfId="0" applyFont="1" applyAlignment="1"/>
    <xf numFmtId="0" fontId="0" fillId="0" borderId="0" xfId="0" applyFont="1" applyAlignment="1"/>
    <xf numFmtId="49" fontId="1" fillId="2" borderId="3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 vertical="center"/>
    </xf>
    <xf numFmtId="0" fontId="2" fillId="0" borderId="0" xfId="0" applyFont="1" applyFill="1" applyAlignment="1"/>
    <xf numFmtId="49" fontId="3" fillId="2" borderId="1" xfId="0" applyNumberFormat="1" applyFont="1" applyFill="1" applyBorder="1" applyAlignment="1">
      <alignment horizontal="center"/>
    </xf>
    <xf numFmtId="49" fontId="3" fillId="3" borderId="5" xfId="0" applyNumberFormat="1" applyFont="1" applyFill="1" applyBorder="1" applyAlignment="1">
      <alignment horizontal="center" vertical="center"/>
    </xf>
    <xf numFmtId="0" fontId="4" fillId="0" borderId="0" xfId="0" applyFont="1" applyAlignment="1"/>
    <xf numFmtId="49" fontId="1" fillId="3" borderId="5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 applyProtection="1">
      <alignment horizontal="center"/>
    </xf>
    <xf numFmtId="0" fontId="1" fillId="5" borderId="6" xfId="0" applyNumberFormat="1" applyFont="1" applyFill="1" applyBorder="1" applyAlignment="1">
      <alignment horizontal="center" vertical="center"/>
    </xf>
    <xf numFmtId="0" fontId="0" fillId="0" borderId="0" xfId="0" applyNumberFormat="1" applyAlignment="1"/>
    <xf numFmtId="49" fontId="1" fillId="2" borderId="1" xfId="0" applyNumberFormat="1" applyFont="1" applyFill="1" applyBorder="1" applyAlignment="1">
      <alignment horizontal="right"/>
    </xf>
    <xf numFmtId="49" fontId="1" fillId="3" borderId="2" xfId="0" applyNumberFormat="1" applyFont="1" applyFill="1" applyBorder="1" applyAlignment="1">
      <alignment horizontal="right" vertical="center"/>
    </xf>
    <xf numFmtId="0" fontId="2" fillId="0" borderId="0" xfId="0" applyFont="1" applyAlignment="1">
      <alignment horizontal="center"/>
    </xf>
    <xf numFmtId="49" fontId="6" fillId="3" borderId="2" xfId="0" applyNumberFormat="1" applyFont="1" applyFill="1" applyBorder="1" applyAlignment="1">
      <alignment horizontal="center" vertical="center"/>
    </xf>
    <xf numFmtId="0" fontId="7" fillId="0" borderId="0" xfId="0" applyFont="1" applyAlignment="1"/>
    <xf numFmtId="0" fontId="2" fillId="0" borderId="0" xfId="0" applyNumberFormat="1" applyFont="1" applyAlignment="1"/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  <xf numFmtId="0" fontId="0" fillId="0" borderId="0" xfId="0" applyNumberFormat="1" applyAlignment="1"/>
  </cellXfs>
  <cellStyles count="1">
    <cellStyle name="常规" xfId="0" builtinId="0"/>
  </cellStyles>
  <dxfs count="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宋体"/>
        <family val="3"/>
        <charset val="134"/>
        <scheme val="none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numFmt numFmtId="0" formatCode="General"/>
      <alignment horizontal="general" vertical="bottom" textRotation="0" wrapText="0" indent="0" justifyLastLine="0" shrinkToFit="0" readingOrder="0"/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19050</xdr:rowOff>
    </xdr:from>
    <xdr:to>
      <xdr:col>0</xdr:col>
      <xdr:colOff>390525</xdr:colOff>
      <xdr:row>1</xdr:row>
      <xdr:rowOff>190500</xdr:rowOff>
    </xdr:to>
    <xdr:sp macro="[0]!导jason" textlink="">
      <xdr:nvSpPr>
        <xdr:cNvPr id="2" name="矩形 1">
          <a:extLst>
            <a:ext uri="{FF2B5EF4-FFF2-40B4-BE49-F238E27FC236}">
              <a16:creationId xmlns:a16="http://schemas.microsoft.com/office/drawing/2014/main" id="{A13E768D-1701-4DBD-98D5-F4F5B2856BBF}"/>
            </a:ext>
          </a:extLst>
        </xdr:cNvPr>
        <xdr:cNvSpPr/>
      </xdr:nvSpPr>
      <xdr:spPr>
        <a:xfrm>
          <a:off x="19050" y="19050"/>
          <a:ext cx="371475" cy="381000"/>
        </a:xfrm>
        <a:prstGeom prst="rect">
          <a:avLst/>
        </a:pr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xdr:spPr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tring-&#23383;&#31526;&#20018;&#3492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cription"/>
      <sheetName val="strings_cfg"/>
      <sheetName val="翻译"/>
    </sheetNames>
    <sheetDataSet>
      <sheetData sheetId="0"/>
      <sheetData sheetId="1"/>
      <sheetData sheetId="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表3_3" displayName="表3_3" ref="A3:J8" totalsRowShown="0">
  <autoFilter ref="A3:J8" xr:uid="{00000000-0009-0000-0100-000002000000}"/>
  <tableColumns count="10">
    <tableColumn id="1" xr3:uid="{00000000-0010-0000-0000-000001000000}" name="女神ID"/>
    <tableColumn id="2" xr3:uid="{00000000-0010-0000-0000-000002000000}" name="女神图片"/>
    <tableColumn id="3" xr3:uid="{00000000-0010-0000-0000-000003000000}" name="阵营"/>
    <tableColumn id="4" xr3:uid="{00000000-0010-0000-0000-000004000000}" name="互动图片"/>
    <tableColumn id="5" xr3:uid="{00000000-0010-0000-0000-000005000000}" name="互动配音"/>
    <tableColumn id="6" xr3:uid="{00000000-0010-0000-0000-000006000000}" name="女神头像"/>
    <tableColumn id="7" xr3:uid="{00000000-0010-0000-0000-000007000000}" name="女神名称"/>
    <tableColumn id="8" xr3:uid="{00000000-0010-0000-0000-000008000000}" name="免费次数"/>
    <tableColumn id="10" xr3:uid="{00000000-0010-0000-0000-00000A000000}" name="何时开启"/>
    <tableColumn id="11" xr3:uid="{00000000-0010-0000-0000-00000B000000}" name="解锁需要碎片"/>
  </tableColumns>
  <tableStyleInfo name="TableStyleMedium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3_32" displayName="表3_32" ref="A3:K56" totalsRowShown="0">
  <autoFilter ref="A3:K56" xr:uid="{00000000-0009-0000-0100-000001000000}"/>
  <tableColumns count="11">
    <tableColumn id="1" xr3:uid="{00000000-0010-0000-0100-000001000000}" name="女神ID"/>
    <tableColumn id="2" xr3:uid="{00000000-0010-0000-0100-000002000000}" name="等级"/>
    <tableColumn id="3" xr3:uid="{00000000-0010-0000-0100-000003000000}" name="升级需要碎片"/>
    <tableColumn id="4" xr3:uid="{00000000-0010-0000-0100-000004000000}" name="需要金币"/>
    <tableColumn id="11" xr3:uid="{00000000-0010-0000-0100-00000B000000}" name="魅力" dataDxfId="15"/>
    <tableColumn id="5" xr3:uid="{00000000-0010-0000-0100-000005000000}" name="新增属性"/>
    <tableColumn id="6" xr3:uid="{00000000-0010-0000-0100-000006000000}" name="属性参数"/>
    <tableColumn id="7" xr3:uid="{00000000-0010-0000-0100-000007000000}" name="新增属性说明" dataDxfId="14">
      <calculatedColumnFormula>IF(OR(表3_32[[#This Row],[新增属性]]=7,表3_32[[#This Row],[新增属性]]=6,表3_32[[#This Row],[新增属性]]=1),"goddessup_desc_"&amp;表3_32[[#This Row],[新增属性]]&amp;"_"&amp;VLOOKUP(表3_32[[#This Row],[女神ID]],表3_3[[女神ID]:[阵营]],3,FALSE),IF(表3_32[[#This Row],[新增属性]]=0,"dailypast_desc_0","goddessup_desc_"&amp;表3_32[[#This Row],[新增属性]]))</calculatedColumnFormula>
    </tableColumn>
    <tableColumn id="8" xr3:uid="{00000000-0010-0000-0100-000008000000}" name="女神生命"/>
    <tableColumn id="9" xr3:uid="{00000000-0010-0000-0100-000009000000}" name="属性是否在水族馆显示"/>
    <tableColumn id="10" xr3:uid="{00000000-0010-0000-0100-00000A000000}" name="名称" dataDxfId="13">
      <calculatedColumnFormula>IFERROR(VLOOKUP(表3_32[[#This Row],[新增属性说明]],[1]!表1[#Data],2,FALSE),"")</calculatedColumnFormula>
    </tableColumn>
  </tableColumns>
  <tableStyleInfo name="TableStyleMedium1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_324" displayName="表3_324" ref="A3:C123" totalsRowShown="0">
  <autoFilter ref="A3:C123" xr:uid="{00000000-0009-0000-0100-000003000000}"/>
  <tableColumns count="3">
    <tableColumn id="1" xr3:uid="{00000000-0010-0000-0200-000001000000}" name="波数"/>
    <tableColumn id="2" xr3:uid="{00000000-0010-0000-0200-000002000000}" name="刷怪规则" dataDxfId="12">
      <calculatedColumnFormula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calculatedColumnFormula>
    </tableColumn>
    <tableColumn id="3" xr3:uid="{00000000-0010-0000-0200-000003000000}" name="宝箱id" dataDxfId="11"/>
  </tableColumns>
  <tableStyleInfo name="TableStyleMedium1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表3_3246" displayName="表3_3246" ref="A3:F200" totalsRowShown="0" dataDxfId="10">
  <autoFilter ref="A3:F200" xr:uid="{00000000-0009-0000-0100-000005000000}"/>
  <sortState ref="A4:F68">
    <sortCondition ref="E6"/>
  </sortState>
  <tableColumns count="6">
    <tableColumn id="1" xr3:uid="{00000000-0010-0000-0300-000001000000}" name="刷怪id" dataDxfId="9">
      <calculatedColumnFormula>IF(表3_3246[[#This Row],[级别]]&gt;30000,表3_3246[[#This Row],[级别]],IF(表3_3246[[#This Row],[级别]]=E3,A3+1,10001+表3_3246[[#This Row],[级别]]*100))</calculatedColumnFormula>
    </tableColumn>
    <tableColumn id="2" xr3:uid="{00000000-0010-0000-0300-000002000000}" name="鱼[[key,间隔,伤害,总数],[key,间隔,伤害,总数]]" dataDxfId="8"/>
    <tableColumn id="4" xr3:uid="{00000000-0010-0000-0300-000004000000}" name="关卡提示" dataDxfId="7"/>
    <tableColumn id="5" xr3:uid="{00000000-0010-0000-0300-000005000000}" name="引导id" dataDxfId="6"/>
    <tableColumn id="3" xr3:uid="{00000000-0010-0000-0300-000003000000}" name="级别" dataDxfId="5"/>
    <tableColumn id="6" xr3:uid="{00000000-0010-0000-0300-000006000000}" name="类型" dataDxfId="4"/>
  </tableColumns>
  <tableStyleInfo name="TableStyleMedium1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表3_3245" displayName="表3_3245" ref="A3:B7" totalsRowShown="0">
  <autoFilter ref="A3:B7" xr:uid="{00000000-0009-0000-0100-000004000000}"/>
  <tableColumns count="2">
    <tableColumn id="1" xr3:uid="{00000000-0010-0000-0400-000001000000}" name="互动ID"/>
    <tableColumn id="2" xr3:uid="{00000000-0010-0000-0400-000002000000}" name="互动奖励掉落ID"/>
  </tableColumns>
  <tableStyleInfo name="TableStyleMedium1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表3_35" displayName="表3_35" ref="A3:C11" totalsRowShown="0" headerRowDxfId="3" tableBorderDxfId="2">
  <autoFilter ref="A3:C11" xr:uid="{00000000-0009-0000-0100-000006000000}"/>
  <tableColumns count="3">
    <tableColumn id="2" xr3:uid="{00000000-0010-0000-0500-000002000000}" name="最低排名要求" dataDxfId="1"/>
    <tableColumn id="1" xr3:uid="{00000000-0010-0000-0500-000001000000}" name="最低关卡要求" dataDxfId="0"/>
    <tableColumn id="4" xr3:uid="{00000000-0010-0000-0500-000004000000}" name="周奖励宝箱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39"/>
  <sheetViews>
    <sheetView workbookViewId="0">
      <selection activeCell="D1" sqref="D1"/>
    </sheetView>
  </sheetViews>
  <sheetFormatPr defaultColWidth="9" defaultRowHeight="13.5" x14ac:dyDescent="0.15"/>
  <cols>
    <col min="1" max="1" width="39.5" customWidth="1"/>
    <col min="2" max="2" width="85.125" customWidth="1"/>
    <col min="4" max="4" width="21.5" customWidth="1"/>
  </cols>
  <sheetData>
    <row r="1" spans="1:4" ht="16.5" x14ac:dyDescent="0.3">
      <c r="A1" s="1" t="s">
        <v>0</v>
      </c>
      <c r="B1" t="s">
        <v>1</v>
      </c>
      <c r="C1">
        <v>1</v>
      </c>
      <c r="D1" s="4" t="s">
        <v>2</v>
      </c>
    </row>
    <row r="2" spans="1:4" ht="16.5" x14ac:dyDescent="0.15">
      <c r="A2" s="11" t="s">
        <v>3</v>
      </c>
      <c r="B2" t="s">
        <v>4</v>
      </c>
      <c r="C2">
        <v>2</v>
      </c>
      <c r="D2" s="4" t="s">
        <v>5</v>
      </c>
    </row>
    <row r="3" spans="1:4" ht="16.5" x14ac:dyDescent="0.3">
      <c r="A3" s="12" t="s">
        <v>6</v>
      </c>
      <c r="B3" t="s">
        <v>7</v>
      </c>
      <c r="C3">
        <v>3</v>
      </c>
      <c r="D3" s="4" t="s">
        <v>8</v>
      </c>
    </row>
    <row r="4" spans="1:4" ht="16.5" x14ac:dyDescent="0.15">
      <c r="A4" s="13" t="s">
        <v>9</v>
      </c>
      <c r="B4" t="s">
        <v>10</v>
      </c>
      <c r="C4">
        <v>4</v>
      </c>
      <c r="D4" s="4" t="s">
        <v>11</v>
      </c>
    </row>
    <row r="5" spans="1:4" x14ac:dyDescent="0.15">
      <c r="C5">
        <v>5</v>
      </c>
      <c r="D5" s="4" t="s">
        <v>12</v>
      </c>
    </row>
    <row r="6" spans="1:4" x14ac:dyDescent="0.15">
      <c r="A6" s="21" t="s">
        <v>13</v>
      </c>
      <c r="B6" s="22"/>
      <c r="C6">
        <v>6</v>
      </c>
      <c r="D6" s="4" t="s">
        <v>14</v>
      </c>
    </row>
    <row r="7" spans="1:4" x14ac:dyDescent="0.15">
      <c r="A7" s="22"/>
      <c r="B7" s="22"/>
      <c r="C7">
        <v>7</v>
      </c>
      <c r="D7" s="4" t="s">
        <v>15</v>
      </c>
    </row>
    <row r="8" spans="1:4" x14ac:dyDescent="0.15">
      <c r="A8" s="22"/>
      <c r="B8" s="22"/>
      <c r="C8">
        <v>8</v>
      </c>
      <c r="D8" s="4" t="s">
        <v>16</v>
      </c>
    </row>
    <row r="9" spans="1:4" x14ac:dyDescent="0.15">
      <c r="A9" s="22"/>
      <c r="B9" s="22"/>
      <c r="C9">
        <v>9</v>
      </c>
      <c r="D9" s="4" t="s">
        <v>17</v>
      </c>
    </row>
    <row r="10" spans="1:4" x14ac:dyDescent="0.15">
      <c r="A10" s="22"/>
      <c r="B10" s="22"/>
      <c r="C10">
        <v>10</v>
      </c>
      <c r="D10" s="4" t="s">
        <v>18</v>
      </c>
    </row>
    <row r="11" spans="1:4" x14ac:dyDescent="0.15">
      <c r="A11" s="22"/>
      <c r="B11" s="22"/>
      <c r="C11">
        <v>11</v>
      </c>
      <c r="D11" s="4" t="s">
        <v>19</v>
      </c>
    </row>
    <row r="12" spans="1:4" x14ac:dyDescent="0.15">
      <c r="A12" s="22"/>
      <c r="B12" s="22"/>
      <c r="C12">
        <v>12</v>
      </c>
      <c r="D12" s="4" t="s">
        <v>20</v>
      </c>
    </row>
    <row r="13" spans="1:4" x14ac:dyDescent="0.15">
      <c r="A13" s="22"/>
      <c r="B13" s="22"/>
    </row>
    <row r="14" spans="1:4" x14ac:dyDescent="0.15">
      <c r="A14" s="22"/>
      <c r="B14" s="22"/>
    </row>
    <row r="15" spans="1:4" x14ac:dyDescent="0.15">
      <c r="A15" s="22"/>
      <c r="B15" s="22"/>
    </row>
    <row r="16" spans="1:4" x14ac:dyDescent="0.15">
      <c r="A16" s="22"/>
      <c r="B16" s="22"/>
    </row>
    <row r="17" spans="1:2" x14ac:dyDescent="0.15">
      <c r="A17" s="22"/>
      <c r="B17" s="22"/>
    </row>
    <row r="18" spans="1:2" x14ac:dyDescent="0.15">
      <c r="A18" s="23" t="s">
        <v>21</v>
      </c>
      <c r="B18" s="23"/>
    </row>
    <row r="19" spans="1:2" x14ac:dyDescent="0.15">
      <c r="A19" s="23" t="s">
        <v>22</v>
      </c>
      <c r="B19" s="23"/>
    </row>
    <row r="20" spans="1:2" x14ac:dyDescent="0.15">
      <c r="A20" s="23" t="s">
        <v>23</v>
      </c>
      <c r="B20" s="23"/>
    </row>
    <row r="21" spans="1:2" x14ac:dyDescent="0.15">
      <c r="A21" s="23"/>
      <c r="B21" s="23"/>
    </row>
    <row r="22" spans="1:2" x14ac:dyDescent="0.15">
      <c r="A22" s="23"/>
      <c r="B22" s="23"/>
    </row>
    <row r="23" spans="1:2" x14ac:dyDescent="0.15">
      <c r="A23" s="23"/>
      <c r="B23" s="23"/>
    </row>
    <row r="24" spans="1:2" x14ac:dyDescent="0.15">
      <c r="A24" s="23"/>
      <c r="B24" s="23"/>
    </row>
    <row r="25" spans="1:2" x14ac:dyDescent="0.15">
      <c r="A25" s="4" t="s">
        <v>24</v>
      </c>
      <c r="B25" s="14"/>
    </row>
    <row r="26" spans="1:2" x14ac:dyDescent="0.15">
      <c r="A26" t="s">
        <v>25</v>
      </c>
      <c r="B26" s="14"/>
    </row>
    <row r="27" spans="1:2" x14ac:dyDescent="0.15">
      <c r="A27" t="s">
        <v>26</v>
      </c>
      <c r="B27" s="14"/>
    </row>
    <row r="28" spans="1:2" x14ac:dyDescent="0.15">
      <c r="A28" t="s">
        <v>27</v>
      </c>
      <c r="B28" s="14"/>
    </row>
    <row r="29" spans="1:2" x14ac:dyDescent="0.15">
      <c r="A29" t="s">
        <v>28</v>
      </c>
      <c r="B29" s="14"/>
    </row>
    <row r="30" spans="1:2" x14ac:dyDescent="0.15">
      <c r="A30" s="23"/>
      <c r="B30" s="23"/>
    </row>
    <row r="31" spans="1:2" x14ac:dyDescent="0.15">
      <c r="A31" s="23"/>
      <c r="B31" s="23"/>
    </row>
    <row r="32" spans="1:2" x14ac:dyDescent="0.15">
      <c r="A32" s="23"/>
      <c r="B32" s="23"/>
    </row>
    <row r="33" spans="1:2" x14ac:dyDescent="0.15">
      <c r="A33" s="23"/>
      <c r="B33" s="23"/>
    </row>
    <row r="34" spans="1:2" x14ac:dyDescent="0.15">
      <c r="A34" s="23"/>
      <c r="B34" s="23"/>
    </row>
    <row r="35" spans="1:2" x14ac:dyDescent="0.15">
      <c r="A35" s="23"/>
      <c r="B35" s="23"/>
    </row>
    <row r="36" spans="1:2" x14ac:dyDescent="0.15">
      <c r="A36" s="23"/>
      <c r="B36" s="23"/>
    </row>
    <row r="37" spans="1:2" x14ac:dyDescent="0.15">
      <c r="A37" s="23"/>
      <c r="B37" s="23"/>
    </row>
    <row r="38" spans="1:2" x14ac:dyDescent="0.15">
      <c r="A38" s="23"/>
      <c r="B38" s="23"/>
    </row>
    <row r="39" spans="1:2" x14ac:dyDescent="0.15">
      <c r="A39" s="23"/>
      <c r="B39" s="23"/>
    </row>
  </sheetData>
  <mergeCells count="18">
    <mergeCell ref="A38:B38"/>
    <mergeCell ref="A39:B39"/>
    <mergeCell ref="A37:B37"/>
    <mergeCell ref="A6:B17"/>
    <mergeCell ref="A33:B33"/>
    <mergeCell ref="A34:B34"/>
    <mergeCell ref="A35:B35"/>
    <mergeCell ref="A36:B36"/>
    <mergeCell ref="A23:B23"/>
    <mergeCell ref="A24:B24"/>
    <mergeCell ref="A30:B30"/>
    <mergeCell ref="A31:B31"/>
    <mergeCell ref="A32:B32"/>
    <mergeCell ref="A18:B18"/>
    <mergeCell ref="A19:B19"/>
    <mergeCell ref="A20:B20"/>
    <mergeCell ref="A21:B21"/>
    <mergeCell ref="A22:B22"/>
  </mergeCells>
  <phoneticPr fontId="5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15"/>
  <sheetViews>
    <sheetView tabSelected="1" workbookViewId="0">
      <pane xSplit="1" ySplit="3" topLeftCell="B4" activePane="bottomRight" state="frozenSplit"/>
      <selection pane="topRight" activeCell="B1" sqref="B1"/>
      <selection pane="bottomLeft" activeCell="A4" sqref="A4"/>
      <selection pane="bottomRight" activeCell="D12" sqref="D12"/>
    </sheetView>
  </sheetViews>
  <sheetFormatPr defaultColWidth="9" defaultRowHeight="13.5" x14ac:dyDescent="0.15"/>
  <cols>
    <col min="1" max="1" width="11.625" customWidth="1"/>
    <col min="2" max="3" width="14.25" customWidth="1"/>
    <col min="4" max="4" width="83.375" customWidth="1"/>
    <col min="5" max="5" width="65.375" customWidth="1"/>
    <col min="6" max="6" width="10.5" customWidth="1"/>
    <col min="7" max="7" width="14.125" customWidth="1"/>
    <col min="8" max="8" width="10" customWidth="1"/>
    <col min="9" max="9" width="19" customWidth="1"/>
    <col min="10" max="10" width="88.875" customWidth="1"/>
  </cols>
  <sheetData>
    <row r="1" spans="1:10" ht="16.5" x14ac:dyDescent="0.3">
      <c r="A1" s="15" t="s">
        <v>29</v>
      </c>
      <c r="B1" s="1" t="s">
        <v>30</v>
      </c>
      <c r="C1" s="1" t="s">
        <v>31</v>
      </c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I1" s="1" t="s">
        <v>37</v>
      </c>
      <c r="J1" s="1" t="s">
        <v>38</v>
      </c>
    </row>
    <row r="2" spans="1:10" ht="16.5" x14ac:dyDescent="0.15">
      <c r="A2" s="16" t="s">
        <v>39</v>
      </c>
      <c r="B2" s="2" t="s">
        <v>40</v>
      </c>
      <c r="C2" s="2" t="s">
        <v>39</v>
      </c>
      <c r="D2" s="2" t="s">
        <v>41</v>
      </c>
      <c r="E2" s="2" t="s">
        <v>41</v>
      </c>
      <c r="F2" s="2" t="s">
        <v>40</v>
      </c>
      <c r="G2" s="2" t="s">
        <v>40</v>
      </c>
      <c r="H2" s="2" t="s">
        <v>39</v>
      </c>
      <c r="I2" s="2" t="s">
        <v>40</v>
      </c>
      <c r="J2" s="2" t="s">
        <v>41</v>
      </c>
    </row>
    <row r="3" spans="1:10" x14ac:dyDescent="0.15">
      <c r="A3" s="17" t="s">
        <v>42</v>
      </c>
      <c r="B3" s="3" t="s">
        <v>43</v>
      </c>
      <c r="C3" s="3" t="s">
        <v>44</v>
      </c>
      <c r="D3" s="3" t="s">
        <v>45</v>
      </c>
      <c r="E3" s="3" t="s">
        <v>46</v>
      </c>
      <c r="F3" s="3" t="s">
        <v>47</v>
      </c>
      <c r="G3" s="3" t="s">
        <v>48</v>
      </c>
      <c r="H3" s="3" t="s">
        <v>49</v>
      </c>
      <c r="I3" s="3" t="s">
        <v>50</v>
      </c>
      <c r="J3" s="3" t="s">
        <v>51</v>
      </c>
    </row>
    <row r="4" spans="1:10" x14ac:dyDescent="0.15">
      <c r="A4" s="3">
        <v>1</v>
      </c>
      <c r="B4" s="3" t="s">
        <v>52</v>
      </c>
      <c r="C4" s="3">
        <v>1</v>
      </c>
      <c r="D4" s="3" t="s">
        <v>519</v>
      </c>
      <c r="E4" s="3" t="s">
        <v>54</v>
      </c>
      <c r="F4" s="3" t="s">
        <v>55</v>
      </c>
      <c r="G4" s="3" t="s">
        <v>56</v>
      </c>
      <c r="H4">
        <v>1</v>
      </c>
      <c r="I4" s="10" t="s">
        <v>57</v>
      </c>
      <c r="J4" s="3" t="s">
        <v>98</v>
      </c>
    </row>
    <row r="5" spans="1:10" x14ac:dyDescent="0.15">
      <c r="A5" s="3">
        <v>2</v>
      </c>
      <c r="B5" s="3" t="s">
        <v>106</v>
      </c>
      <c r="C5" s="3">
        <v>2</v>
      </c>
      <c r="D5" s="3" t="s">
        <v>518</v>
      </c>
      <c r="E5" s="3" t="s">
        <v>54</v>
      </c>
      <c r="F5" s="3" t="s">
        <v>107</v>
      </c>
      <c r="G5" s="3" t="s">
        <v>58</v>
      </c>
      <c r="H5">
        <v>1</v>
      </c>
      <c r="I5" s="10" t="s">
        <v>108</v>
      </c>
      <c r="J5" s="3" t="s">
        <v>109</v>
      </c>
    </row>
    <row r="6" spans="1:10" x14ac:dyDescent="0.15">
      <c r="A6" s="3">
        <v>3</v>
      </c>
      <c r="B6" s="3" t="s">
        <v>144</v>
      </c>
      <c r="C6" s="3">
        <v>3</v>
      </c>
      <c r="D6" s="3" t="s">
        <v>520</v>
      </c>
      <c r="E6" s="3" t="s">
        <v>54</v>
      </c>
      <c r="F6" s="3" t="s">
        <v>145</v>
      </c>
      <c r="G6" s="3" t="s">
        <v>146</v>
      </c>
      <c r="H6">
        <v>1</v>
      </c>
      <c r="I6" s="10" t="s">
        <v>147</v>
      </c>
      <c r="J6" s="3" t="s">
        <v>148</v>
      </c>
    </row>
    <row r="7" spans="1:10" x14ac:dyDescent="0.15">
      <c r="A7" s="3">
        <v>4</v>
      </c>
      <c r="B7" s="3" t="s">
        <v>514</v>
      </c>
      <c r="C7" s="3">
        <v>4</v>
      </c>
      <c r="D7" s="3" t="s">
        <v>521</v>
      </c>
      <c r="E7" s="3" t="s">
        <v>54</v>
      </c>
      <c r="F7" s="3" t="s">
        <v>515</v>
      </c>
      <c r="G7" s="3" t="s">
        <v>59</v>
      </c>
      <c r="H7">
        <v>1</v>
      </c>
      <c r="I7" s="10" t="s">
        <v>516</v>
      </c>
      <c r="J7" s="3" t="s">
        <v>149</v>
      </c>
    </row>
    <row r="8" spans="1:10" x14ac:dyDescent="0.15">
      <c r="A8" s="3">
        <v>5</v>
      </c>
      <c r="B8" s="3" t="s">
        <v>52</v>
      </c>
      <c r="C8" s="3">
        <v>1</v>
      </c>
      <c r="D8" s="3" t="s">
        <v>53</v>
      </c>
      <c r="E8" s="3" t="s">
        <v>54</v>
      </c>
      <c r="F8" s="3" t="s">
        <v>55</v>
      </c>
      <c r="G8" s="3" t="s">
        <v>517</v>
      </c>
      <c r="H8">
        <v>1</v>
      </c>
      <c r="I8" s="10" t="s">
        <v>60</v>
      </c>
      <c r="J8" s="3" t="s">
        <v>150</v>
      </c>
    </row>
    <row r="9" spans="1:10" x14ac:dyDescent="0.15">
      <c r="J9" s="3"/>
    </row>
    <row r="10" spans="1:10" x14ac:dyDescent="0.15">
      <c r="J10" s="3"/>
    </row>
    <row r="11" spans="1:10" x14ac:dyDescent="0.15">
      <c r="J11" s="3"/>
    </row>
    <row r="12" spans="1:10" x14ac:dyDescent="0.15">
      <c r="J12" s="3"/>
    </row>
    <row r="13" spans="1:10" x14ac:dyDescent="0.15">
      <c r="J13" s="3"/>
    </row>
    <row r="14" spans="1:10" x14ac:dyDescent="0.15">
      <c r="J14" s="3"/>
    </row>
    <row r="15" spans="1:10" x14ac:dyDescent="0.15">
      <c r="J15" s="3"/>
    </row>
  </sheetData>
  <phoneticPr fontId="5" type="noConversion"/>
  <dataValidations count="2">
    <dataValidation allowBlank="1" showInputMessage="1" showErrorMessage="1" promptTitle="[互动1图片,互动2图片,互动3图片,互动4图片]" prompt="暂定4个互动" sqref="D3" xr:uid="{00000000-0002-0000-0100-000000000000}"/>
    <dataValidation allowBlank="1" showInputMessage="1" showErrorMessage="1" promptTitle="[互动1配音,互动2配音,互动3配音,互动4配音]" prompt="暂定4个互动" sqref="E3" xr:uid="{00000000-0002-0000-0100-000001000000}"/>
  </dataValidations>
  <pageMargins left="0.69930555555555596" right="0.69930555555555596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56"/>
  <sheetViews>
    <sheetView workbookViewId="0">
      <selection activeCell="E44" sqref="E44:E55"/>
    </sheetView>
  </sheetViews>
  <sheetFormatPr defaultColWidth="9" defaultRowHeight="13.5" x14ac:dyDescent="0.15"/>
  <cols>
    <col min="1" max="1" width="9" customWidth="1"/>
    <col min="2" max="2" width="7" customWidth="1"/>
    <col min="3" max="3" width="88.875" customWidth="1"/>
    <col min="4" max="4" width="10.625" customWidth="1"/>
    <col min="5" max="5" width="7.375" bestFit="1" customWidth="1"/>
    <col min="6" max="7" width="10.5" customWidth="1"/>
    <col min="8" max="8" width="19" customWidth="1"/>
    <col min="9" max="9" width="10.5" customWidth="1"/>
    <col min="10" max="10" width="22" customWidth="1"/>
    <col min="11" max="11" width="23.625" customWidth="1"/>
  </cols>
  <sheetData>
    <row r="1" spans="1:12" ht="17.25" x14ac:dyDescent="0.35">
      <c r="A1" s="1" t="s">
        <v>29</v>
      </c>
      <c r="B1" s="1" t="s">
        <v>61</v>
      </c>
      <c r="C1" s="1" t="s">
        <v>38</v>
      </c>
      <c r="D1" s="1" t="s">
        <v>62</v>
      </c>
      <c r="E1" s="1" t="s">
        <v>459</v>
      </c>
      <c r="F1" s="1" t="s">
        <v>63</v>
      </c>
      <c r="G1" s="1" t="s">
        <v>64</v>
      </c>
      <c r="H1" s="1" t="s">
        <v>65</v>
      </c>
      <c r="I1" s="1" t="s">
        <v>66</v>
      </c>
      <c r="J1" s="1" t="s">
        <v>67</v>
      </c>
      <c r="K1" s="8" t="s">
        <v>68</v>
      </c>
    </row>
    <row r="2" spans="1:12" ht="16.5" x14ac:dyDescent="0.15">
      <c r="A2" s="2" t="s">
        <v>39</v>
      </c>
      <c r="B2" s="2" t="s">
        <v>39</v>
      </c>
      <c r="C2" s="2" t="s">
        <v>41</v>
      </c>
      <c r="D2" s="2" t="s">
        <v>39</v>
      </c>
      <c r="E2" s="2" t="s">
        <v>460</v>
      </c>
      <c r="F2" s="2" t="s">
        <v>39</v>
      </c>
      <c r="G2" s="18" t="s">
        <v>97</v>
      </c>
      <c r="H2" s="2" t="s">
        <v>40</v>
      </c>
      <c r="I2" s="2" t="s">
        <v>39</v>
      </c>
      <c r="J2" s="2" t="s">
        <v>39</v>
      </c>
      <c r="K2" s="9" t="s">
        <v>68</v>
      </c>
    </row>
    <row r="3" spans="1:12" x14ac:dyDescent="0.15">
      <c r="A3" s="3" t="s">
        <v>42</v>
      </c>
      <c r="B3" s="3" t="s">
        <v>69</v>
      </c>
      <c r="C3" s="3" t="s">
        <v>70</v>
      </c>
      <c r="D3" s="3" t="s">
        <v>71</v>
      </c>
      <c r="E3" s="3" t="s">
        <v>458</v>
      </c>
      <c r="F3" s="3" t="s">
        <v>72</v>
      </c>
      <c r="G3" s="3" t="s">
        <v>73</v>
      </c>
      <c r="H3" s="3" t="s">
        <v>74</v>
      </c>
      <c r="I3" s="3" t="s">
        <v>75</v>
      </c>
      <c r="J3" s="3" t="s">
        <v>76</v>
      </c>
      <c r="K3" s="3" t="s">
        <v>77</v>
      </c>
    </row>
    <row r="4" spans="1:12" x14ac:dyDescent="0.15">
      <c r="A4" s="3">
        <v>1</v>
      </c>
      <c r="B4" s="4">
        <v>0</v>
      </c>
      <c r="C4" s="3" t="s">
        <v>78</v>
      </c>
      <c r="D4" s="3">
        <v>0</v>
      </c>
      <c r="E4" s="3">
        <v>0</v>
      </c>
      <c r="F4" s="4">
        <v>0</v>
      </c>
      <c r="G4">
        <v>0</v>
      </c>
      <c r="H4" s="3" t="str">
        <f>IF(OR(表3_32[[#This Row],[新增属性]]=7,表3_32[[#This Row],[新增属性]]=6,表3_32[[#This Row],[新增属性]]=1),"goddessup_desc_"&amp;表3_32[[#This Row],[新增属性]]&amp;"_"&amp;VLOOKUP(表3_32[[#This Row],[女神ID]],表3_3[[女神ID]:[阵营]],3,FALSE),IF(表3_32[[#This Row],[新增属性]]=0,"dailypast_desc_0","goddessup_desc_"&amp;表3_32[[#This Row],[新增属性]]))</f>
        <v>dailypast_desc_0</v>
      </c>
      <c r="I4">
        <v>100</v>
      </c>
      <c r="J4">
        <v>0</v>
      </c>
      <c r="K4" t="str">
        <f>IFERROR(VLOOKUP(表3_32[[#This Row],[新增属性说明]],[1]!表1[#Data],2,FALSE),"")</f>
        <v xml:space="preserve"> </v>
      </c>
      <c r="L4" s="4"/>
    </row>
    <row r="5" spans="1:12" x14ac:dyDescent="0.15">
      <c r="A5" s="3">
        <v>1</v>
      </c>
      <c r="B5" s="4">
        <v>1</v>
      </c>
      <c r="C5" s="3" t="s">
        <v>78</v>
      </c>
      <c r="D5" s="3">
        <v>0</v>
      </c>
      <c r="E5" s="3">
        <v>200</v>
      </c>
      <c r="F5" s="4">
        <v>8</v>
      </c>
      <c r="G5">
        <v>0.1</v>
      </c>
      <c r="H5" s="3" t="str">
        <f>IF(OR(表3_32[[#This Row],[新增属性]]=7,表3_32[[#This Row],[新增属性]]=6,表3_32[[#This Row],[新增属性]]=1),"goddessup_desc_"&amp;表3_32[[#This Row],[新增属性]]&amp;"_"&amp;VLOOKUP(表3_32[[#This Row],[女神ID]],表3_3[[女神ID]:[阵营]],3,FALSE),IF(表3_32[[#This Row],[新增属性]]=0,"dailypast_desc_0","goddessup_desc_"&amp;表3_32[[#This Row],[新增属性]]))</f>
        <v>goddessup_desc_8</v>
      </c>
      <c r="I5">
        <v>100</v>
      </c>
      <c r="J5">
        <v>0</v>
      </c>
      <c r="K5" t="str">
        <f>IFERROR(VLOOKUP(表3_32[[#This Row],[新增属性说明]],[1]!表1[#Data],2,FALSE),"")</f>
        <v>锁定持续时长+10%</v>
      </c>
      <c r="L5" s="4"/>
    </row>
    <row r="6" spans="1:12" x14ac:dyDescent="0.15">
      <c r="A6" s="3">
        <v>1</v>
      </c>
      <c r="B6" s="4">
        <v>2</v>
      </c>
      <c r="C6" s="3" t="s">
        <v>482</v>
      </c>
      <c r="D6" s="3">
        <v>100000</v>
      </c>
      <c r="E6" s="3">
        <v>280</v>
      </c>
      <c r="F6">
        <v>0</v>
      </c>
      <c r="G6">
        <v>0</v>
      </c>
      <c r="H6" s="3" t="str">
        <f>IF(OR(表3_32[[#This Row],[新增属性]]=7,表3_32[[#This Row],[新增属性]]=6,表3_32[[#This Row],[新增属性]]=1),"goddessup_desc_"&amp;表3_32[[#This Row],[新增属性]]&amp;"_"&amp;VLOOKUP(表3_32[[#This Row],[女神ID]],表3_3[[女神ID]:[阵营]],3,FALSE),IF(表3_32[[#This Row],[新增属性]]=0,"dailypast_desc_0","goddessup_desc_"&amp;表3_32[[#This Row],[新增属性]]))</f>
        <v>dailypast_desc_0</v>
      </c>
      <c r="I6">
        <v>150</v>
      </c>
      <c r="J6">
        <v>0</v>
      </c>
      <c r="K6" t="str">
        <f>IFERROR(VLOOKUP(表3_32[[#This Row],[新增属性说明]],[1]!表1[#Data],2,FALSE),"")</f>
        <v xml:space="preserve"> </v>
      </c>
      <c r="L6" s="4"/>
    </row>
    <row r="7" spans="1:12" x14ac:dyDescent="0.15">
      <c r="A7" s="3">
        <v>1</v>
      </c>
      <c r="B7" s="4">
        <v>3</v>
      </c>
      <c r="C7" s="3" t="s">
        <v>483</v>
      </c>
      <c r="D7" s="3">
        <v>200000</v>
      </c>
      <c r="E7" s="3">
        <v>360</v>
      </c>
      <c r="F7">
        <v>2</v>
      </c>
      <c r="G7">
        <v>0</v>
      </c>
      <c r="H7" s="3" t="str">
        <f>IF(OR(表3_32[[#This Row],[新增属性]]=7,表3_32[[#This Row],[新增属性]]=6,表3_32[[#This Row],[新增属性]]=1),"goddessup_desc_"&amp;表3_32[[#This Row],[新增属性]]&amp;"_"&amp;VLOOKUP(表3_32[[#This Row],[女神ID]],表3_3[[女神ID]:[阵营]],3,FALSE),IF(表3_32[[#This Row],[新增属性]]=0,"dailypast_desc_0","goddessup_desc_"&amp;表3_32[[#This Row],[新增属性]]))</f>
        <v>goddessup_desc_2</v>
      </c>
      <c r="I7">
        <v>200</v>
      </c>
      <c r="J7">
        <v>0</v>
      </c>
      <c r="K7" t="str">
        <f>IFERROR(VLOOKUP(表3_32[[#This Row],[新增属性说明]],[1]!表1[#Data],2,FALSE),"")</f>
        <v>解锁微笑表情</v>
      </c>
      <c r="L7" s="4"/>
    </row>
    <row r="8" spans="1:12" x14ac:dyDescent="0.15">
      <c r="A8" s="3">
        <v>1</v>
      </c>
      <c r="B8" s="4">
        <v>4</v>
      </c>
      <c r="C8" s="3" t="s">
        <v>484</v>
      </c>
      <c r="D8" s="3">
        <v>400000</v>
      </c>
      <c r="E8" s="3">
        <v>440.00000000000006</v>
      </c>
      <c r="F8">
        <v>0</v>
      </c>
      <c r="G8">
        <v>0</v>
      </c>
      <c r="H8" s="3" t="str">
        <f>IF(OR(表3_32[[#This Row],[新增属性]]=7,表3_32[[#This Row],[新增属性]]=6,表3_32[[#This Row],[新增属性]]=1),"goddessup_desc_"&amp;表3_32[[#This Row],[新增属性]]&amp;"_"&amp;VLOOKUP(表3_32[[#This Row],[女神ID]],表3_3[[女神ID]:[阵营]],3,FALSE),IF(表3_32[[#This Row],[新增属性]]=0,"dailypast_desc_0","goddessup_desc_"&amp;表3_32[[#This Row],[新增属性]]))</f>
        <v>dailypast_desc_0</v>
      </c>
      <c r="I8">
        <v>250</v>
      </c>
      <c r="J8">
        <v>0</v>
      </c>
      <c r="K8" t="str">
        <f>IFERROR(VLOOKUP(表3_32[[#This Row],[新增属性说明]],[1]!表1[#Data],2,FALSE),"")</f>
        <v xml:space="preserve"> </v>
      </c>
      <c r="L8" s="4"/>
    </row>
    <row r="9" spans="1:12" x14ac:dyDescent="0.15">
      <c r="A9" s="3">
        <v>1</v>
      </c>
      <c r="B9" s="4">
        <v>5</v>
      </c>
      <c r="C9" s="3" t="s">
        <v>488</v>
      </c>
      <c r="D9" s="3">
        <v>600000</v>
      </c>
      <c r="E9" s="3">
        <v>520</v>
      </c>
      <c r="F9">
        <v>6</v>
      </c>
      <c r="G9">
        <v>150</v>
      </c>
      <c r="H9" s="3" t="str">
        <f>IF(OR(表3_32[[#This Row],[新增属性]]=7,表3_32[[#This Row],[新增属性]]=6,表3_32[[#This Row],[新增属性]]=1),"goddessup_desc_"&amp;表3_32[[#This Row],[新增属性]]&amp;"_"&amp;VLOOKUP(表3_32[[#This Row],[女神ID]],表3_3[[女神ID]:[阵营]],3,FALSE),IF(表3_32[[#This Row],[新增属性]]=0,"dailypast_desc_0","goddessup_desc_"&amp;表3_32[[#This Row],[新增属性]]))</f>
        <v>goddessup_desc_6_1</v>
      </c>
      <c r="I9">
        <v>300</v>
      </c>
      <c r="J9">
        <v>1</v>
      </c>
      <c r="K9" t="str">
        <f>IFERROR(VLOOKUP(表3_32[[#This Row],[新增属性说明]],[1]!表1[#Data],2,FALSE),"")</f>
        <v>光明系鱼产出时长-150秒</v>
      </c>
      <c r="L9" s="4"/>
    </row>
    <row r="10" spans="1:12" x14ac:dyDescent="0.15">
      <c r="A10" s="3">
        <v>1</v>
      </c>
      <c r="B10" s="4">
        <v>6</v>
      </c>
      <c r="C10" s="3" t="s">
        <v>485</v>
      </c>
      <c r="D10" s="3">
        <v>1000000</v>
      </c>
      <c r="E10" s="3">
        <v>600</v>
      </c>
      <c r="F10" s="4">
        <v>0</v>
      </c>
      <c r="G10">
        <v>0</v>
      </c>
      <c r="H10" s="3" t="str">
        <f>IF(OR(表3_32[[#This Row],[新增属性]]=7,表3_32[[#This Row],[新增属性]]=6,表3_32[[#This Row],[新增属性]]=1),"goddessup_desc_"&amp;表3_32[[#This Row],[新增属性]]&amp;"_"&amp;VLOOKUP(表3_32[[#This Row],[女神ID]],表3_3[[女神ID]:[阵营]],3,FALSE),IF(表3_32[[#This Row],[新增属性]]=0,"dailypast_desc_0","goddessup_desc_"&amp;表3_32[[#This Row],[新增属性]]))</f>
        <v>dailypast_desc_0</v>
      </c>
      <c r="I10">
        <v>350</v>
      </c>
      <c r="J10">
        <v>0</v>
      </c>
      <c r="K10" t="str">
        <f>IFERROR(VLOOKUP(表3_32[[#This Row],[新增属性说明]],[1]!表1[#Data],2,FALSE),"")</f>
        <v xml:space="preserve"> </v>
      </c>
      <c r="L10" s="4"/>
    </row>
    <row r="11" spans="1:12" x14ac:dyDescent="0.15">
      <c r="A11" s="3">
        <v>1</v>
      </c>
      <c r="B11" s="4">
        <v>7</v>
      </c>
      <c r="C11" s="3" t="s">
        <v>486</v>
      </c>
      <c r="D11" s="3">
        <v>2000000</v>
      </c>
      <c r="E11" s="3">
        <v>680</v>
      </c>
      <c r="F11" s="4">
        <v>3</v>
      </c>
      <c r="G11">
        <v>0</v>
      </c>
      <c r="H11" s="3" t="str">
        <f>IF(OR(表3_32[[#This Row],[新增属性]]=7,表3_32[[#This Row],[新增属性]]=6,表3_32[[#This Row],[新增属性]]=1),"goddessup_desc_"&amp;表3_32[[#This Row],[新增属性]]&amp;"_"&amp;VLOOKUP(表3_32[[#This Row],[女神ID]],表3_3[[女神ID]:[阵营]],3,FALSE),IF(表3_32[[#This Row],[新增属性]]=0,"dailypast_desc_0","goddessup_desc_"&amp;表3_32[[#This Row],[新增属性]]))</f>
        <v>goddessup_desc_3</v>
      </c>
      <c r="I11">
        <v>400</v>
      </c>
      <c r="J11">
        <v>0</v>
      </c>
      <c r="K11" t="str">
        <f>IFERROR(VLOOKUP(表3_32[[#This Row],[新增属性说明]],[1]!表1[#Data],2,FALSE),"")</f>
        <v>解锁害羞表情</v>
      </c>
      <c r="L11" s="4"/>
    </row>
    <row r="12" spans="1:12" x14ac:dyDescent="0.15">
      <c r="A12" s="3">
        <v>1</v>
      </c>
      <c r="B12" s="4">
        <v>8</v>
      </c>
      <c r="C12" s="3" t="s">
        <v>489</v>
      </c>
      <c r="D12" s="3">
        <v>4000000</v>
      </c>
      <c r="E12" s="3">
        <v>760</v>
      </c>
      <c r="F12">
        <v>1</v>
      </c>
      <c r="G12">
        <v>1</v>
      </c>
      <c r="H12" s="3" t="str">
        <f>IF(OR(表3_32[[#This Row],[新增属性]]=7,表3_32[[#This Row],[新增属性]]=6,表3_32[[#This Row],[新增属性]]=1),"goddessup_desc_"&amp;表3_32[[#This Row],[新增属性]]&amp;"_"&amp;VLOOKUP(表3_32[[#This Row],[女神ID]],表3_3[[女神ID]:[阵营]],3,FALSE),IF(表3_32[[#This Row],[新增属性]]=0,"dailypast_desc_0","goddessup_desc_"&amp;表3_32[[#This Row],[新增属性]]))</f>
        <v>goddessup_desc_1_1</v>
      </c>
      <c r="I12">
        <v>450</v>
      </c>
      <c r="J12">
        <v>1</v>
      </c>
      <c r="K12" t="str">
        <f>IFERROR(VLOOKUP(表3_32[[#This Row],[新增属性说明]],[1]!表1[#Data],2,FALSE),"")</f>
        <v>水族馆养鱼上限+1</v>
      </c>
      <c r="L12" s="4"/>
    </row>
    <row r="13" spans="1:12" x14ac:dyDescent="0.15">
      <c r="A13" s="3">
        <v>1</v>
      </c>
      <c r="B13" s="4">
        <v>9</v>
      </c>
      <c r="C13" s="3" t="s">
        <v>490</v>
      </c>
      <c r="D13" s="3">
        <v>6000000</v>
      </c>
      <c r="E13" s="3">
        <v>840</v>
      </c>
      <c r="F13">
        <v>4</v>
      </c>
      <c r="G13">
        <v>0</v>
      </c>
      <c r="H13" s="3" t="str">
        <f>IF(OR(表3_32[[#This Row],[新增属性]]=7,表3_32[[#This Row],[新增属性]]=6,表3_32[[#This Row],[新增属性]]=1),"goddessup_desc_"&amp;表3_32[[#This Row],[新增属性]]&amp;"_"&amp;VLOOKUP(表3_32[[#This Row],[女神ID]],表3_3[[女神ID]:[阵营]],3,FALSE),IF(表3_32[[#This Row],[新增属性]]=0,"dailypast_desc_0","goddessup_desc_"&amp;表3_32[[#This Row],[新增属性]]))</f>
        <v>goddessup_desc_4</v>
      </c>
      <c r="I13">
        <v>500</v>
      </c>
      <c r="J13">
        <v>0</v>
      </c>
      <c r="K13" t="str">
        <f>IFERROR(VLOOKUP(表3_32[[#This Row],[新增属性说明]],[1]!表1[#Data],2,FALSE),"")</f>
        <v>解锁卖萌表情</v>
      </c>
      <c r="L13" s="4"/>
    </row>
    <row r="14" spans="1:12" x14ac:dyDescent="0.15">
      <c r="A14" s="3">
        <v>1</v>
      </c>
      <c r="B14" s="4">
        <v>10</v>
      </c>
      <c r="C14" s="3" t="s">
        <v>487</v>
      </c>
      <c r="D14" s="3">
        <v>8000000</v>
      </c>
      <c r="E14" s="3">
        <v>919.99999999999989</v>
      </c>
      <c r="F14">
        <v>9</v>
      </c>
      <c r="G14">
        <v>0.1</v>
      </c>
      <c r="H14" s="3" t="str">
        <f>IF(OR(表3_32[[#This Row],[新增属性]]=7,表3_32[[#This Row],[新增属性]]=6,表3_32[[#This Row],[新增属性]]=1),"goddessup_desc_"&amp;表3_32[[#This Row],[新增属性]]&amp;"_"&amp;VLOOKUP(表3_32[[#This Row],[女神ID]],表3_3[[女神ID]:[阵营]],3,FALSE),IF(表3_32[[#This Row],[新增属性]]=0,"dailypast_desc_0","goddessup_desc_"&amp;表3_32[[#This Row],[新增属性]]))</f>
        <v>goddessup_desc_9</v>
      </c>
      <c r="I14">
        <v>550</v>
      </c>
      <c r="J14">
        <v>0</v>
      </c>
      <c r="K14" t="str">
        <f>IFERROR(VLOOKUP(表3_32[[#This Row],[新增属性说明]],[1]!表1[#Data],2,FALSE),"")</f>
        <v>冰冻持续时长+10%</v>
      </c>
      <c r="L14" s="4"/>
    </row>
    <row r="15" spans="1:12" x14ac:dyDescent="0.15">
      <c r="A15" s="3">
        <v>1</v>
      </c>
      <c r="B15" s="4">
        <v>11</v>
      </c>
      <c r="C15" s="3" t="s">
        <v>491</v>
      </c>
      <c r="D15" s="3">
        <v>12000000</v>
      </c>
      <c r="E15" s="3">
        <v>1000</v>
      </c>
      <c r="F15" s="4">
        <v>5</v>
      </c>
      <c r="G15">
        <v>0</v>
      </c>
      <c r="H15" s="3" t="str">
        <f>IF(OR(表3_32[[#This Row],[新增属性]]=7,表3_32[[#This Row],[新增属性]]=6,表3_32[[#This Row],[新增属性]]=1),"goddessup_desc_"&amp;表3_32[[#This Row],[新增属性]]&amp;"_"&amp;VLOOKUP(表3_32[[#This Row],[女神ID]],表3_3[[女神ID]:[阵营]],3,FALSE),IF(表3_32[[#This Row],[新增属性]]=0,"dailypast_desc_0","goddessup_desc_"&amp;表3_32[[#This Row],[新增属性]]))</f>
        <v>goddessup_desc_5</v>
      </c>
      <c r="I15">
        <v>600</v>
      </c>
      <c r="J15">
        <v>0</v>
      </c>
      <c r="K15" t="str">
        <f>IFERROR(VLOOKUP(表3_32[[#This Row],[新增属性说明]],[1]!表1[#Data],2,FALSE),"")</f>
        <v>解锁缠绵表情</v>
      </c>
      <c r="L15" s="4"/>
    </row>
    <row r="16" spans="1:12" x14ac:dyDescent="0.15">
      <c r="A16" s="3">
        <v>1</v>
      </c>
      <c r="B16" s="4">
        <v>12</v>
      </c>
      <c r="C16" s="3" t="s">
        <v>492</v>
      </c>
      <c r="D16" s="3">
        <v>16000000</v>
      </c>
      <c r="E16" s="3">
        <v>1080</v>
      </c>
      <c r="F16" s="4">
        <v>7</v>
      </c>
      <c r="G16">
        <v>1</v>
      </c>
      <c r="H16" s="3" t="str">
        <f>IF(OR(表3_32[[#This Row],[新增属性]]=7,表3_32[[#This Row],[新增属性]]=6,表3_32[[#This Row],[新增属性]]=1),"goddessup_desc_"&amp;表3_32[[#This Row],[新增属性]]&amp;"_"&amp;VLOOKUP(表3_32[[#This Row],[女神ID]],表3_3[[女神ID]:[阵营]],3,FALSE),IF(表3_32[[#This Row],[新增属性]]=0,"dailypast_desc_0","goddessup_desc_"&amp;表3_32[[#This Row],[新增属性]]))</f>
        <v>goddessup_desc_7_1</v>
      </c>
      <c r="I16">
        <v>700</v>
      </c>
      <c r="J16">
        <v>1</v>
      </c>
      <c r="K16" t="str">
        <f>IFERROR(VLOOKUP(表3_32[[#This Row],[新增属性说明]],[1]!表1[#Data],2,FALSE),"")</f>
        <v>光明系鱼产量+1</v>
      </c>
    </row>
    <row r="17" spans="1:11" x14ac:dyDescent="0.15">
      <c r="A17" s="3">
        <v>2</v>
      </c>
      <c r="B17" s="4">
        <v>0</v>
      </c>
      <c r="C17" s="3" t="s">
        <v>78</v>
      </c>
      <c r="D17" s="3">
        <v>0</v>
      </c>
      <c r="E17" s="3">
        <v>0</v>
      </c>
      <c r="F17" s="4">
        <v>0</v>
      </c>
      <c r="G17">
        <v>0</v>
      </c>
      <c r="H17" s="3" t="str">
        <f>IF(OR(表3_32[[#This Row],[新增属性]]=7,表3_32[[#This Row],[新增属性]]=6,表3_32[[#This Row],[新增属性]]=1),"goddessup_desc_"&amp;表3_32[[#This Row],[新增属性]]&amp;"_"&amp;VLOOKUP(表3_32[[#This Row],[女神ID]],表3_3[[女神ID]:[阵营]],3,FALSE),IF(表3_32[[#This Row],[新增属性]]=0,"dailypast_desc_0","goddessup_desc_"&amp;表3_32[[#This Row],[新增属性]]))</f>
        <v>dailypast_desc_0</v>
      </c>
      <c r="I17">
        <v>100</v>
      </c>
      <c r="J17">
        <v>0</v>
      </c>
      <c r="K17" t="str">
        <f>IFERROR(VLOOKUP(表3_32[[#This Row],[新增属性说明]],[1]!表1[#Data],2,FALSE),"")</f>
        <v xml:space="preserve"> </v>
      </c>
    </row>
    <row r="18" spans="1:11" x14ac:dyDescent="0.15">
      <c r="A18" s="3">
        <v>2</v>
      </c>
      <c r="B18" s="4">
        <v>1</v>
      </c>
      <c r="C18" s="3" t="s">
        <v>78</v>
      </c>
      <c r="D18" s="3">
        <v>0</v>
      </c>
      <c r="E18" s="3">
        <v>200</v>
      </c>
      <c r="F18" s="4">
        <v>10</v>
      </c>
      <c r="G18">
        <v>0.05</v>
      </c>
      <c r="H18" s="3" t="str">
        <f>IF(OR(表3_32[[#This Row],[新增属性]]=7,表3_32[[#This Row],[新增属性]]=6,表3_32[[#This Row],[新增属性]]=1),"goddessup_desc_"&amp;表3_32[[#This Row],[新增属性]]&amp;"_"&amp;VLOOKUP(表3_32[[#This Row],[女神ID]],表3_3[[女神ID]:[阵营]],3,FALSE),IF(表3_32[[#This Row],[新增属性]]=0,"dailypast_desc_0","goddessup_desc_"&amp;表3_32[[#This Row],[新增属性]]))</f>
        <v>goddessup_desc_10</v>
      </c>
      <c r="I18">
        <v>100</v>
      </c>
      <c r="J18">
        <v>0</v>
      </c>
      <c r="K18" t="str">
        <f>IFERROR(VLOOKUP(表3_32[[#This Row],[新增属性说明]],[1]!表1[#Data],2,FALSE),"")</f>
        <v>捕鱼获得经验+5%</v>
      </c>
    </row>
    <row r="19" spans="1:11" x14ac:dyDescent="0.15">
      <c r="A19" s="3">
        <v>2</v>
      </c>
      <c r="B19">
        <v>2</v>
      </c>
      <c r="C19" s="3" t="s">
        <v>493</v>
      </c>
      <c r="D19" s="3">
        <v>100000</v>
      </c>
      <c r="E19" s="3">
        <v>280</v>
      </c>
      <c r="F19">
        <v>0</v>
      </c>
      <c r="G19">
        <v>0</v>
      </c>
      <c r="H19" s="3" t="str">
        <f>IF(OR(表3_32[[#This Row],[新增属性]]=7,表3_32[[#This Row],[新增属性]]=6,表3_32[[#This Row],[新增属性]]=1),"goddessup_desc_"&amp;表3_32[[#This Row],[新增属性]]&amp;"_"&amp;VLOOKUP(表3_32[[#This Row],[女神ID]],表3_3[[女神ID]:[阵营]],3,FALSE),IF(表3_32[[#This Row],[新增属性]]=0,"dailypast_desc_0","goddessup_desc_"&amp;表3_32[[#This Row],[新增属性]]))</f>
        <v>dailypast_desc_0</v>
      </c>
      <c r="I19">
        <v>150</v>
      </c>
      <c r="J19">
        <v>0</v>
      </c>
      <c r="K19" t="str">
        <f>IFERROR(VLOOKUP(表3_32[[#This Row],[新增属性说明]],[1]!表1[#Data],2,FALSE),"")</f>
        <v xml:space="preserve"> </v>
      </c>
    </row>
    <row r="20" spans="1:11" x14ac:dyDescent="0.15">
      <c r="A20" s="3">
        <v>2</v>
      </c>
      <c r="B20" s="4">
        <v>3</v>
      </c>
      <c r="C20" s="3" t="s">
        <v>241</v>
      </c>
      <c r="D20" s="3">
        <v>200000</v>
      </c>
      <c r="E20" s="3">
        <v>360</v>
      </c>
      <c r="F20">
        <v>2</v>
      </c>
      <c r="G20">
        <v>0</v>
      </c>
      <c r="H20" s="3" t="str">
        <f>IF(OR(表3_32[[#This Row],[新增属性]]=7,表3_32[[#This Row],[新增属性]]=6,表3_32[[#This Row],[新增属性]]=1),"goddessup_desc_"&amp;表3_32[[#This Row],[新增属性]]&amp;"_"&amp;VLOOKUP(表3_32[[#This Row],[女神ID]],表3_3[[女神ID]:[阵营]],3,FALSE),IF(表3_32[[#This Row],[新增属性]]=0,"dailypast_desc_0","goddessup_desc_"&amp;表3_32[[#This Row],[新增属性]]))</f>
        <v>goddessup_desc_2</v>
      </c>
      <c r="I20">
        <v>200</v>
      </c>
      <c r="J20">
        <v>0</v>
      </c>
      <c r="K20" t="str">
        <f>IFERROR(VLOOKUP(表3_32[[#This Row],[新增属性说明]],[1]!表1[#Data],2,FALSE),"")</f>
        <v>解锁微笑表情</v>
      </c>
    </row>
    <row r="21" spans="1:11" x14ac:dyDescent="0.15">
      <c r="A21" s="3">
        <v>2</v>
      </c>
      <c r="B21">
        <v>4</v>
      </c>
      <c r="C21" s="3" t="s">
        <v>242</v>
      </c>
      <c r="D21" s="3">
        <v>400000</v>
      </c>
      <c r="E21" s="3">
        <v>440.00000000000006</v>
      </c>
      <c r="F21">
        <v>0</v>
      </c>
      <c r="G21">
        <v>0</v>
      </c>
      <c r="H21" s="3" t="str">
        <f>IF(OR(表3_32[[#This Row],[新增属性]]=7,表3_32[[#This Row],[新增属性]]=6,表3_32[[#This Row],[新增属性]]=1),"goddessup_desc_"&amp;表3_32[[#This Row],[新增属性]]&amp;"_"&amp;VLOOKUP(表3_32[[#This Row],[女神ID]],表3_3[[女神ID]:[阵营]],3,FALSE),IF(表3_32[[#This Row],[新增属性]]=0,"dailypast_desc_0","goddessup_desc_"&amp;表3_32[[#This Row],[新增属性]]))</f>
        <v>dailypast_desc_0</v>
      </c>
      <c r="I21">
        <v>250</v>
      </c>
      <c r="J21">
        <v>0</v>
      </c>
      <c r="K21" t="str">
        <f>IFERROR(VLOOKUP(表3_32[[#This Row],[新增属性说明]],[1]!表1[#Data],2,FALSE),"")</f>
        <v xml:space="preserve"> </v>
      </c>
    </row>
    <row r="22" spans="1:11" x14ac:dyDescent="0.15">
      <c r="A22" s="3">
        <v>2</v>
      </c>
      <c r="B22" s="4">
        <v>5</v>
      </c>
      <c r="C22" s="3" t="s">
        <v>494</v>
      </c>
      <c r="D22" s="3">
        <v>600000</v>
      </c>
      <c r="E22" s="3">
        <v>520</v>
      </c>
      <c r="F22">
        <v>6</v>
      </c>
      <c r="G22">
        <v>300</v>
      </c>
      <c r="H22" s="3" t="str">
        <f>IF(OR(表3_32[[#This Row],[新增属性]]=7,表3_32[[#This Row],[新增属性]]=6,表3_32[[#This Row],[新增属性]]=1),"goddessup_desc_"&amp;表3_32[[#This Row],[新增属性]]&amp;"_"&amp;VLOOKUP(表3_32[[#This Row],[女神ID]],表3_3[[女神ID]:[阵营]],3,FALSE),IF(表3_32[[#This Row],[新增属性]]=0,"dailypast_desc_0","goddessup_desc_"&amp;表3_32[[#This Row],[新增属性]]))</f>
        <v>goddessup_desc_6_2</v>
      </c>
      <c r="I22">
        <v>300</v>
      </c>
      <c r="J22">
        <v>1</v>
      </c>
      <c r="K22" t="str">
        <f>IFERROR(VLOOKUP(表3_32[[#This Row],[新增属性说明]],[1]!表1[#Data],2,FALSE),"")</f>
        <v>黑暗系鱼产出时长-300秒</v>
      </c>
    </row>
    <row r="23" spans="1:11" x14ac:dyDescent="0.15">
      <c r="A23" s="3">
        <v>2</v>
      </c>
      <c r="B23">
        <v>6</v>
      </c>
      <c r="C23" s="3" t="s">
        <v>495</v>
      </c>
      <c r="D23" s="3">
        <v>1000000</v>
      </c>
      <c r="E23" s="3">
        <v>600</v>
      </c>
      <c r="F23" s="4">
        <v>0</v>
      </c>
      <c r="G23">
        <v>0</v>
      </c>
      <c r="H23" s="3" t="str">
        <f>IF(OR(表3_32[[#This Row],[新增属性]]=7,表3_32[[#This Row],[新增属性]]=6,表3_32[[#This Row],[新增属性]]=1),"goddessup_desc_"&amp;表3_32[[#This Row],[新增属性]]&amp;"_"&amp;VLOOKUP(表3_32[[#This Row],[女神ID]],表3_3[[女神ID]:[阵营]],3,FALSE),IF(表3_32[[#This Row],[新增属性]]=0,"dailypast_desc_0","goddessup_desc_"&amp;表3_32[[#This Row],[新增属性]]))</f>
        <v>dailypast_desc_0</v>
      </c>
      <c r="I23">
        <v>350</v>
      </c>
      <c r="J23">
        <v>0</v>
      </c>
      <c r="K23" t="str">
        <f>IFERROR(VLOOKUP(表3_32[[#This Row],[新增属性说明]],[1]!表1[#Data],2,FALSE),"")</f>
        <v xml:space="preserve"> </v>
      </c>
    </row>
    <row r="24" spans="1:11" x14ac:dyDescent="0.15">
      <c r="A24" s="3">
        <v>2</v>
      </c>
      <c r="B24" s="4">
        <v>7</v>
      </c>
      <c r="C24" s="3" t="s">
        <v>476</v>
      </c>
      <c r="D24" s="3">
        <v>2000000</v>
      </c>
      <c r="E24" s="3">
        <v>680</v>
      </c>
      <c r="F24" s="4">
        <v>3</v>
      </c>
      <c r="G24">
        <v>0</v>
      </c>
      <c r="H24" s="3" t="str">
        <f>IF(OR(表3_32[[#This Row],[新增属性]]=7,表3_32[[#This Row],[新增属性]]=6,表3_32[[#This Row],[新增属性]]=1),"goddessup_desc_"&amp;表3_32[[#This Row],[新增属性]]&amp;"_"&amp;VLOOKUP(表3_32[[#This Row],[女神ID]],表3_3[[女神ID]:[阵营]],3,FALSE),IF(表3_32[[#This Row],[新增属性]]=0,"dailypast_desc_0","goddessup_desc_"&amp;表3_32[[#This Row],[新增属性]]))</f>
        <v>goddessup_desc_3</v>
      </c>
      <c r="I24">
        <v>400</v>
      </c>
      <c r="J24">
        <v>0</v>
      </c>
      <c r="K24" t="str">
        <f>IFERROR(VLOOKUP(表3_32[[#This Row],[新增属性说明]],[1]!表1[#Data],2,FALSE),"")</f>
        <v>解锁害羞表情</v>
      </c>
    </row>
    <row r="25" spans="1:11" x14ac:dyDescent="0.15">
      <c r="A25" s="3">
        <v>2</v>
      </c>
      <c r="B25">
        <v>8</v>
      </c>
      <c r="C25" s="3" t="s">
        <v>496</v>
      </c>
      <c r="D25" s="3">
        <v>4000000</v>
      </c>
      <c r="E25" s="3">
        <v>760</v>
      </c>
      <c r="F25">
        <v>1</v>
      </c>
      <c r="G25">
        <v>1</v>
      </c>
      <c r="H25" s="3" t="str">
        <f>IF(OR(表3_32[[#This Row],[新增属性]]=7,表3_32[[#This Row],[新增属性]]=6,表3_32[[#This Row],[新增属性]]=1),"goddessup_desc_"&amp;表3_32[[#This Row],[新增属性]]&amp;"_"&amp;VLOOKUP(表3_32[[#This Row],[女神ID]],表3_3[[女神ID]:[阵营]],3,FALSE),IF(表3_32[[#This Row],[新增属性]]=0,"dailypast_desc_0","goddessup_desc_"&amp;表3_32[[#This Row],[新增属性]]))</f>
        <v>goddessup_desc_1_2</v>
      </c>
      <c r="I25">
        <v>450</v>
      </c>
      <c r="J25">
        <v>1</v>
      </c>
      <c r="K25" t="str">
        <f>IFERROR(VLOOKUP(表3_32[[#This Row],[新增属性说明]],[1]!表1[#Data],2,FALSE),"")</f>
        <v>水族馆养鱼上限+1</v>
      </c>
    </row>
    <row r="26" spans="1:11" x14ac:dyDescent="0.15">
      <c r="A26" s="3">
        <v>2</v>
      </c>
      <c r="B26" s="4">
        <v>9</v>
      </c>
      <c r="C26" s="3" t="s">
        <v>243</v>
      </c>
      <c r="D26" s="3">
        <v>6000000</v>
      </c>
      <c r="E26" s="3">
        <v>840</v>
      </c>
      <c r="F26">
        <v>4</v>
      </c>
      <c r="G26">
        <v>0</v>
      </c>
      <c r="H26" s="3" t="str">
        <f>IF(OR(表3_32[[#This Row],[新增属性]]=7,表3_32[[#This Row],[新增属性]]=6,表3_32[[#This Row],[新增属性]]=1),"goddessup_desc_"&amp;表3_32[[#This Row],[新增属性]]&amp;"_"&amp;VLOOKUP(表3_32[[#This Row],[女神ID]],表3_3[[女神ID]:[阵营]],3,FALSE),IF(表3_32[[#This Row],[新增属性]]=0,"dailypast_desc_0","goddessup_desc_"&amp;表3_32[[#This Row],[新增属性]]))</f>
        <v>goddessup_desc_4</v>
      </c>
      <c r="I26">
        <v>500</v>
      </c>
      <c r="J26">
        <v>0</v>
      </c>
      <c r="K26" t="str">
        <f>IFERROR(VLOOKUP(表3_32[[#This Row],[新增属性说明]],[1]!表1[#Data],2,FALSE),"")</f>
        <v>解锁卖萌表情</v>
      </c>
    </row>
    <row r="27" spans="1:11" x14ac:dyDescent="0.15">
      <c r="A27" s="3">
        <v>2</v>
      </c>
      <c r="B27">
        <v>10</v>
      </c>
      <c r="C27" s="3" t="s">
        <v>497</v>
      </c>
      <c r="D27" s="3">
        <v>8000000</v>
      </c>
      <c r="E27" s="3">
        <v>919.99999999999989</v>
      </c>
      <c r="F27">
        <v>11</v>
      </c>
      <c r="G27">
        <v>0.05</v>
      </c>
      <c r="H27" s="3" t="str">
        <f>IF(OR(表3_32[[#This Row],[新增属性]]=7,表3_32[[#This Row],[新增属性]]=6,表3_32[[#This Row],[新增属性]]=1),"goddessup_desc_"&amp;表3_32[[#This Row],[新增属性]]&amp;"_"&amp;VLOOKUP(表3_32[[#This Row],[女神ID]],表3_3[[女神ID]:[阵营]],3,FALSE),IF(表3_32[[#This Row],[新增属性]]=0,"dailypast_desc_0","goddessup_desc_"&amp;表3_32[[#This Row],[新增属性]]))</f>
        <v>goddessup_desc_11</v>
      </c>
      <c r="I27">
        <v>550</v>
      </c>
      <c r="J27">
        <v>0</v>
      </c>
      <c r="K27" t="str">
        <f>IFERROR(VLOOKUP(表3_32[[#This Row],[新增属性说明]],[1]!表1[#Data],2,FALSE),"")</f>
        <v>激光累积速度+5%</v>
      </c>
    </row>
    <row r="28" spans="1:11" x14ac:dyDescent="0.15">
      <c r="A28" s="3">
        <v>2</v>
      </c>
      <c r="B28" s="4">
        <v>11</v>
      </c>
      <c r="C28" s="3" t="s">
        <v>498</v>
      </c>
      <c r="D28" s="3">
        <v>12000000</v>
      </c>
      <c r="E28" s="3">
        <v>1000</v>
      </c>
      <c r="F28" s="4">
        <v>5</v>
      </c>
      <c r="G28">
        <v>0</v>
      </c>
      <c r="H28" s="3" t="str">
        <f>IF(OR(表3_32[[#This Row],[新增属性]]=7,表3_32[[#This Row],[新增属性]]=6,表3_32[[#This Row],[新增属性]]=1),"goddessup_desc_"&amp;表3_32[[#This Row],[新增属性]]&amp;"_"&amp;VLOOKUP(表3_32[[#This Row],[女神ID]],表3_3[[女神ID]:[阵营]],3,FALSE),IF(表3_32[[#This Row],[新增属性]]=0,"dailypast_desc_0","goddessup_desc_"&amp;表3_32[[#This Row],[新增属性]]))</f>
        <v>goddessup_desc_5</v>
      </c>
      <c r="I28">
        <v>600</v>
      </c>
      <c r="J28">
        <v>0</v>
      </c>
      <c r="K28" t="str">
        <f>IFERROR(VLOOKUP(表3_32[[#This Row],[新增属性说明]],[1]!表1[#Data],2,FALSE),"")</f>
        <v>解锁缠绵表情</v>
      </c>
    </row>
    <row r="29" spans="1:11" x14ac:dyDescent="0.15">
      <c r="A29" s="3">
        <v>2</v>
      </c>
      <c r="B29">
        <v>12</v>
      </c>
      <c r="C29" s="3" t="s">
        <v>499</v>
      </c>
      <c r="D29" s="3">
        <v>16000000</v>
      </c>
      <c r="E29" s="3">
        <v>1080</v>
      </c>
      <c r="F29" s="4">
        <v>7</v>
      </c>
      <c r="G29">
        <v>1</v>
      </c>
      <c r="H29" s="3" t="str">
        <f>IF(OR(表3_32[[#This Row],[新增属性]]=7,表3_32[[#This Row],[新增属性]]=6,表3_32[[#This Row],[新增属性]]=1),"goddessup_desc_"&amp;表3_32[[#This Row],[新增属性]]&amp;"_"&amp;VLOOKUP(表3_32[[#This Row],[女神ID]],表3_3[[女神ID]:[阵营]],3,FALSE),IF(表3_32[[#This Row],[新增属性]]=0,"dailypast_desc_0","goddessup_desc_"&amp;表3_32[[#This Row],[新增属性]]))</f>
        <v>goddessup_desc_7_2</v>
      </c>
      <c r="I29">
        <v>700</v>
      </c>
      <c r="J29">
        <v>1</v>
      </c>
      <c r="K29" t="str">
        <f>IFERROR(VLOOKUP(表3_32[[#This Row],[新增属性说明]],[1]!表1[#Data],2,FALSE),"")</f>
        <v>黑暗系鱼产量+1</v>
      </c>
    </row>
    <row r="30" spans="1:11" x14ac:dyDescent="0.15">
      <c r="A30" s="3">
        <v>3</v>
      </c>
      <c r="B30" s="4">
        <v>0</v>
      </c>
      <c r="C30" s="3" t="s">
        <v>78</v>
      </c>
      <c r="D30" s="3">
        <v>0</v>
      </c>
      <c r="E30" s="3">
        <v>0</v>
      </c>
      <c r="F30" s="4">
        <v>0</v>
      </c>
      <c r="G30">
        <v>0</v>
      </c>
      <c r="H30" s="3" t="str">
        <f>IF(OR(表3_32[[#This Row],[新增属性]]=7,表3_32[[#This Row],[新增属性]]=6,表3_32[[#This Row],[新增属性]]=1),"goddessup_desc_"&amp;表3_32[[#This Row],[新增属性]]&amp;"_"&amp;VLOOKUP(表3_32[[#This Row],[女神ID]],表3_3[[女神ID]:[阵营]],3,FALSE),IF(表3_32[[#This Row],[新增属性]]=0,"dailypast_desc_0","goddessup_desc_"&amp;表3_32[[#This Row],[新增属性]]))</f>
        <v>dailypast_desc_0</v>
      </c>
      <c r="I30">
        <v>100</v>
      </c>
      <c r="J30">
        <v>0</v>
      </c>
      <c r="K30" t="str">
        <f>IFERROR(VLOOKUP(表3_32[[#This Row],[新增属性说明]],[1]!表1[#Data],2,FALSE),"")</f>
        <v xml:space="preserve"> </v>
      </c>
    </row>
    <row r="31" spans="1:11" x14ac:dyDescent="0.15">
      <c r="A31" s="3">
        <v>3</v>
      </c>
      <c r="B31" s="4">
        <v>1</v>
      </c>
      <c r="C31" s="3" t="s">
        <v>78</v>
      </c>
      <c r="D31" s="3">
        <v>0</v>
      </c>
      <c r="E31" s="3">
        <v>200</v>
      </c>
      <c r="F31">
        <v>11</v>
      </c>
      <c r="G31">
        <v>0.05</v>
      </c>
      <c r="H31" s="3" t="str">
        <f>IF(OR(表3_32[[#This Row],[新增属性]]=7,表3_32[[#This Row],[新增属性]]=6,表3_32[[#This Row],[新增属性]]=1),"goddessup_desc_"&amp;表3_32[[#This Row],[新增属性]]&amp;"_"&amp;VLOOKUP(表3_32[[#This Row],[女神ID]],表3_3[[女神ID]:[阵营]],3,FALSE),IF(表3_32[[#This Row],[新增属性]]=0,"dailypast_desc_0","goddessup_desc_"&amp;表3_32[[#This Row],[新增属性]]))</f>
        <v>goddessup_desc_11</v>
      </c>
      <c r="I31">
        <v>100</v>
      </c>
      <c r="J31">
        <v>0</v>
      </c>
      <c r="K31" t="str">
        <f>IFERROR(VLOOKUP(表3_32[[#This Row],[新增属性说明]],[1]!表1[#Data],2,FALSE),"")</f>
        <v>激光累积速度+5%</v>
      </c>
    </row>
    <row r="32" spans="1:11" x14ac:dyDescent="0.15">
      <c r="A32" s="3">
        <v>3</v>
      </c>
      <c r="B32">
        <v>2</v>
      </c>
      <c r="C32" s="3" t="s">
        <v>500</v>
      </c>
      <c r="D32" s="3">
        <v>100000</v>
      </c>
      <c r="E32" s="3">
        <v>280</v>
      </c>
      <c r="F32">
        <v>0</v>
      </c>
      <c r="G32">
        <v>0</v>
      </c>
      <c r="H32" s="3" t="str">
        <f>IF(OR(表3_32[[#This Row],[新增属性]]=7,表3_32[[#This Row],[新增属性]]=6,表3_32[[#This Row],[新增属性]]=1),"goddessup_desc_"&amp;表3_32[[#This Row],[新增属性]]&amp;"_"&amp;VLOOKUP(表3_32[[#This Row],[女神ID]],表3_3[[女神ID]:[阵营]],3,FALSE),IF(表3_32[[#This Row],[新增属性]]=0,"dailypast_desc_0","goddessup_desc_"&amp;表3_32[[#This Row],[新增属性]]))</f>
        <v>dailypast_desc_0</v>
      </c>
      <c r="I32">
        <v>150</v>
      </c>
      <c r="J32">
        <v>0</v>
      </c>
      <c r="K32" t="str">
        <f>IFERROR(VLOOKUP(表3_32[[#This Row],[新增属性说明]],[1]!表1[#Data],2,FALSE),"")</f>
        <v xml:space="preserve"> </v>
      </c>
    </row>
    <row r="33" spans="1:11" x14ac:dyDescent="0.15">
      <c r="A33" s="3">
        <v>3</v>
      </c>
      <c r="B33" s="4">
        <v>3</v>
      </c>
      <c r="C33" s="3" t="s">
        <v>244</v>
      </c>
      <c r="D33" s="3">
        <v>200000</v>
      </c>
      <c r="E33" s="3">
        <v>360</v>
      </c>
      <c r="F33">
        <v>2</v>
      </c>
      <c r="G33">
        <v>0</v>
      </c>
      <c r="H33" s="3" t="str">
        <f>IF(OR(表3_32[[#This Row],[新增属性]]=7,表3_32[[#This Row],[新增属性]]=6,表3_32[[#This Row],[新增属性]]=1),"goddessup_desc_"&amp;表3_32[[#This Row],[新增属性]]&amp;"_"&amp;VLOOKUP(表3_32[[#This Row],[女神ID]],表3_3[[女神ID]:[阵营]],3,FALSE),IF(表3_32[[#This Row],[新增属性]]=0,"dailypast_desc_0","goddessup_desc_"&amp;表3_32[[#This Row],[新增属性]]))</f>
        <v>goddessup_desc_2</v>
      </c>
      <c r="I33">
        <v>200</v>
      </c>
      <c r="J33">
        <v>0</v>
      </c>
      <c r="K33" t="str">
        <f>IFERROR(VLOOKUP(表3_32[[#This Row],[新增属性说明]],[1]!表1[#Data],2,FALSE),"")</f>
        <v>解锁微笑表情</v>
      </c>
    </row>
    <row r="34" spans="1:11" x14ac:dyDescent="0.15">
      <c r="A34" s="3">
        <v>3</v>
      </c>
      <c r="B34">
        <v>4</v>
      </c>
      <c r="C34" s="3" t="s">
        <v>245</v>
      </c>
      <c r="D34" s="3">
        <v>400000</v>
      </c>
      <c r="E34" s="3">
        <v>440.00000000000006</v>
      </c>
      <c r="F34">
        <v>0</v>
      </c>
      <c r="G34">
        <v>0</v>
      </c>
      <c r="H34" s="3" t="str">
        <f>IF(OR(表3_32[[#This Row],[新增属性]]=7,表3_32[[#This Row],[新增属性]]=6,表3_32[[#This Row],[新增属性]]=1),"goddessup_desc_"&amp;表3_32[[#This Row],[新增属性]]&amp;"_"&amp;VLOOKUP(表3_32[[#This Row],[女神ID]],表3_3[[女神ID]:[阵营]],3,FALSE),IF(表3_32[[#This Row],[新增属性]]=0,"dailypast_desc_0","goddessup_desc_"&amp;表3_32[[#This Row],[新增属性]]))</f>
        <v>dailypast_desc_0</v>
      </c>
      <c r="I34">
        <v>250</v>
      </c>
      <c r="J34">
        <v>0</v>
      </c>
      <c r="K34" t="str">
        <f>IFERROR(VLOOKUP(表3_32[[#This Row],[新增属性说明]],[1]!表1[#Data],2,FALSE),"")</f>
        <v xml:space="preserve"> </v>
      </c>
    </row>
    <row r="35" spans="1:11" x14ac:dyDescent="0.15">
      <c r="A35" s="3">
        <v>3</v>
      </c>
      <c r="B35" s="4">
        <v>5</v>
      </c>
      <c r="C35" s="3" t="s">
        <v>501</v>
      </c>
      <c r="D35" s="3">
        <v>600000</v>
      </c>
      <c r="E35" s="3">
        <v>520</v>
      </c>
      <c r="F35">
        <v>6</v>
      </c>
      <c r="G35">
        <v>600</v>
      </c>
      <c r="H35" s="3" t="str">
        <f>IF(OR(表3_32[[#This Row],[新增属性]]=7,表3_32[[#This Row],[新增属性]]=6,表3_32[[#This Row],[新增属性]]=1),"goddessup_desc_"&amp;表3_32[[#This Row],[新增属性]]&amp;"_"&amp;VLOOKUP(表3_32[[#This Row],[女神ID]],表3_3[[女神ID]:[阵营]],3,FALSE),IF(表3_32[[#This Row],[新增属性]]=0,"dailypast_desc_0","goddessup_desc_"&amp;表3_32[[#This Row],[新增属性]]))</f>
        <v>goddessup_desc_6_3</v>
      </c>
      <c r="I35">
        <v>300</v>
      </c>
      <c r="J35">
        <v>1</v>
      </c>
      <c r="K35" t="str">
        <f>IFERROR(VLOOKUP(表3_32[[#This Row],[新增属性说明]],[1]!表1[#Data],2,FALSE),"")</f>
        <v>火焰系鱼产出时长-600秒</v>
      </c>
    </row>
    <row r="36" spans="1:11" x14ac:dyDescent="0.15">
      <c r="A36" s="3">
        <v>3</v>
      </c>
      <c r="B36">
        <v>6</v>
      </c>
      <c r="C36" s="3" t="s">
        <v>502</v>
      </c>
      <c r="D36" s="3">
        <v>1000000</v>
      </c>
      <c r="E36" s="3">
        <v>600</v>
      </c>
      <c r="F36" s="4">
        <v>0</v>
      </c>
      <c r="G36">
        <v>0</v>
      </c>
      <c r="H36" s="3" t="str">
        <f>IF(OR(表3_32[[#This Row],[新增属性]]=7,表3_32[[#This Row],[新增属性]]=6,表3_32[[#This Row],[新增属性]]=1),"goddessup_desc_"&amp;表3_32[[#This Row],[新增属性]]&amp;"_"&amp;VLOOKUP(表3_32[[#This Row],[女神ID]],表3_3[[女神ID]:[阵营]],3,FALSE),IF(表3_32[[#This Row],[新增属性]]=0,"dailypast_desc_0","goddessup_desc_"&amp;表3_32[[#This Row],[新增属性]]))</f>
        <v>dailypast_desc_0</v>
      </c>
      <c r="I36">
        <v>350</v>
      </c>
      <c r="J36">
        <v>0</v>
      </c>
      <c r="K36" t="str">
        <f>IFERROR(VLOOKUP(表3_32[[#This Row],[新增属性说明]],[1]!表1[#Data],2,FALSE),"")</f>
        <v xml:space="preserve"> </v>
      </c>
    </row>
    <row r="37" spans="1:11" x14ac:dyDescent="0.15">
      <c r="A37" s="3">
        <v>3</v>
      </c>
      <c r="B37" s="4">
        <v>7</v>
      </c>
      <c r="C37" s="3" t="s">
        <v>477</v>
      </c>
      <c r="D37" s="3">
        <v>2000000</v>
      </c>
      <c r="E37" s="3">
        <v>680</v>
      </c>
      <c r="F37" s="4">
        <v>3</v>
      </c>
      <c r="G37">
        <v>0</v>
      </c>
      <c r="H37" s="3" t="str">
        <f>IF(OR(表3_32[[#This Row],[新增属性]]=7,表3_32[[#This Row],[新增属性]]=6,表3_32[[#This Row],[新增属性]]=1),"goddessup_desc_"&amp;表3_32[[#This Row],[新增属性]]&amp;"_"&amp;VLOOKUP(表3_32[[#This Row],[女神ID]],表3_3[[女神ID]:[阵营]],3,FALSE),IF(表3_32[[#This Row],[新增属性]]=0,"dailypast_desc_0","goddessup_desc_"&amp;表3_32[[#This Row],[新增属性]]))</f>
        <v>goddessup_desc_3</v>
      </c>
      <c r="I37">
        <v>400</v>
      </c>
      <c r="J37">
        <v>0</v>
      </c>
      <c r="K37" t="str">
        <f>IFERROR(VLOOKUP(表3_32[[#This Row],[新增属性说明]],[1]!表1[#Data],2,FALSE),"")</f>
        <v>解锁害羞表情</v>
      </c>
    </row>
    <row r="38" spans="1:11" x14ac:dyDescent="0.15">
      <c r="A38" s="3">
        <v>3</v>
      </c>
      <c r="B38">
        <v>8</v>
      </c>
      <c r="C38" s="3" t="s">
        <v>503</v>
      </c>
      <c r="D38" s="3">
        <v>4000000</v>
      </c>
      <c r="E38" s="3">
        <v>760</v>
      </c>
      <c r="F38">
        <v>1</v>
      </c>
      <c r="G38">
        <v>1</v>
      </c>
      <c r="H38" s="3" t="str">
        <f>IF(OR(表3_32[[#This Row],[新增属性]]=7,表3_32[[#This Row],[新增属性]]=6,表3_32[[#This Row],[新增属性]]=1),"goddessup_desc_"&amp;表3_32[[#This Row],[新增属性]]&amp;"_"&amp;VLOOKUP(表3_32[[#This Row],[女神ID]],表3_3[[女神ID]:[阵营]],3,FALSE),IF(表3_32[[#This Row],[新增属性]]=0,"dailypast_desc_0","goddessup_desc_"&amp;表3_32[[#This Row],[新增属性]]))</f>
        <v>goddessup_desc_1_3</v>
      </c>
      <c r="I38">
        <v>450</v>
      </c>
      <c r="J38">
        <v>1</v>
      </c>
      <c r="K38" t="str">
        <f>IFERROR(VLOOKUP(表3_32[[#This Row],[新增属性说明]],[1]!表1[#Data],2,FALSE),"")</f>
        <v>水族馆养鱼上限+1</v>
      </c>
    </row>
    <row r="39" spans="1:11" x14ac:dyDescent="0.15">
      <c r="A39" s="3">
        <v>3</v>
      </c>
      <c r="B39" s="4">
        <v>9</v>
      </c>
      <c r="C39" s="3" t="s">
        <v>246</v>
      </c>
      <c r="D39" s="3">
        <v>6000000</v>
      </c>
      <c r="E39" s="3">
        <v>840</v>
      </c>
      <c r="F39">
        <v>4</v>
      </c>
      <c r="G39">
        <v>0</v>
      </c>
      <c r="H39" s="3" t="str">
        <f>IF(OR(表3_32[[#This Row],[新增属性]]=7,表3_32[[#This Row],[新增属性]]=6,表3_32[[#This Row],[新增属性]]=1),"goddessup_desc_"&amp;表3_32[[#This Row],[新增属性]]&amp;"_"&amp;VLOOKUP(表3_32[[#This Row],[女神ID]],表3_3[[女神ID]:[阵营]],3,FALSE),IF(表3_32[[#This Row],[新增属性]]=0,"dailypast_desc_0","goddessup_desc_"&amp;表3_32[[#This Row],[新增属性]]))</f>
        <v>goddessup_desc_4</v>
      </c>
      <c r="I39">
        <v>500</v>
      </c>
      <c r="J39">
        <v>0</v>
      </c>
      <c r="K39" t="str">
        <f>IFERROR(VLOOKUP(表3_32[[#This Row],[新增属性说明]],[1]!表1[#Data],2,FALSE),"")</f>
        <v>解锁卖萌表情</v>
      </c>
    </row>
    <row r="40" spans="1:11" x14ac:dyDescent="0.15">
      <c r="A40" s="3">
        <v>3</v>
      </c>
      <c r="B40">
        <v>10</v>
      </c>
      <c r="C40" s="3" t="s">
        <v>504</v>
      </c>
      <c r="D40" s="3">
        <v>8000000</v>
      </c>
      <c r="E40" s="3">
        <v>919.99999999999989</v>
      </c>
      <c r="F40" s="4">
        <v>12</v>
      </c>
      <c r="G40">
        <v>0.1</v>
      </c>
      <c r="H40" s="3" t="str">
        <f>IF(OR(表3_32[[#This Row],[新增属性]]=7,表3_32[[#This Row],[新增属性]]=6,表3_32[[#This Row],[新增属性]]=1),"goddessup_desc_"&amp;表3_32[[#This Row],[新增属性]]&amp;"_"&amp;VLOOKUP(表3_32[[#This Row],[女神ID]],表3_3[[女神ID]:[阵营]],3,FALSE),IF(表3_32[[#This Row],[新增属性]]=0,"dailypast_desc_0","goddessup_desc_"&amp;表3_32[[#This Row],[新增属性]]))</f>
        <v>goddessup_desc_12</v>
      </c>
      <c r="I40">
        <v>550</v>
      </c>
      <c r="J40">
        <v>0</v>
      </c>
      <c r="K40" t="str">
        <f>IFERROR(VLOOKUP(表3_32[[#This Row],[新增属性说明]],[1]!表1[#Data],2,FALSE),"")</f>
        <v>购买金币数量+10%</v>
      </c>
    </row>
    <row r="41" spans="1:11" x14ac:dyDescent="0.15">
      <c r="A41" s="3">
        <v>3</v>
      </c>
      <c r="B41" s="4">
        <v>11</v>
      </c>
      <c r="C41" s="3" t="s">
        <v>505</v>
      </c>
      <c r="D41" s="3">
        <v>12000000</v>
      </c>
      <c r="E41" s="3">
        <v>1000</v>
      </c>
      <c r="F41" s="4">
        <v>5</v>
      </c>
      <c r="G41">
        <v>0</v>
      </c>
      <c r="H41" s="3" t="str">
        <f>IF(OR(表3_32[[#This Row],[新增属性]]=7,表3_32[[#This Row],[新增属性]]=6,表3_32[[#This Row],[新增属性]]=1),"goddessup_desc_"&amp;表3_32[[#This Row],[新增属性]]&amp;"_"&amp;VLOOKUP(表3_32[[#This Row],[女神ID]],表3_3[[女神ID]:[阵营]],3,FALSE),IF(表3_32[[#This Row],[新增属性]]=0,"dailypast_desc_0","goddessup_desc_"&amp;表3_32[[#This Row],[新增属性]]))</f>
        <v>goddessup_desc_5</v>
      </c>
      <c r="I41">
        <v>600</v>
      </c>
      <c r="J41">
        <v>0</v>
      </c>
      <c r="K41" t="str">
        <f>IFERROR(VLOOKUP(表3_32[[#This Row],[新增属性说明]],[1]!表1[#Data],2,FALSE),"")</f>
        <v>解锁缠绵表情</v>
      </c>
    </row>
    <row r="42" spans="1:11" x14ac:dyDescent="0.15">
      <c r="A42" s="3">
        <v>3</v>
      </c>
      <c r="B42">
        <v>12</v>
      </c>
      <c r="C42" s="3" t="s">
        <v>506</v>
      </c>
      <c r="D42" s="3">
        <v>16000000</v>
      </c>
      <c r="E42" s="3">
        <v>1080</v>
      </c>
      <c r="F42" s="4">
        <v>7</v>
      </c>
      <c r="G42">
        <v>1</v>
      </c>
      <c r="H42" s="3" t="str">
        <f>IF(OR(表3_32[[#This Row],[新增属性]]=7,表3_32[[#This Row],[新增属性]]=6,表3_32[[#This Row],[新增属性]]=1),"goddessup_desc_"&amp;表3_32[[#This Row],[新增属性]]&amp;"_"&amp;VLOOKUP(表3_32[[#This Row],[女神ID]],表3_3[[女神ID]:[阵营]],3,FALSE),IF(表3_32[[#This Row],[新增属性]]=0,"dailypast_desc_0","goddessup_desc_"&amp;表3_32[[#This Row],[新增属性]]))</f>
        <v>goddessup_desc_7_3</v>
      </c>
      <c r="I42">
        <v>700</v>
      </c>
      <c r="J42">
        <v>1</v>
      </c>
      <c r="K42" t="str">
        <f>IFERROR(VLOOKUP(表3_32[[#This Row],[新增属性说明]],[1]!表1[#Data],2,FALSE),"")</f>
        <v>火焰系鱼产量+1</v>
      </c>
    </row>
    <row r="43" spans="1:11" x14ac:dyDescent="0.15">
      <c r="A43" s="3">
        <v>4</v>
      </c>
      <c r="B43" s="4">
        <v>0</v>
      </c>
      <c r="C43" s="3" t="s">
        <v>78</v>
      </c>
      <c r="D43" s="3">
        <v>0</v>
      </c>
      <c r="E43" s="3">
        <v>0</v>
      </c>
      <c r="F43" s="4">
        <v>0</v>
      </c>
      <c r="G43">
        <v>0</v>
      </c>
      <c r="H43" s="3" t="str">
        <f>IF(OR(表3_32[[#This Row],[新增属性]]=7,表3_32[[#This Row],[新增属性]]=6,表3_32[[#This Row],[新增属性]]=1),"goddessup_desc_"&amp;表3_32[[#This Row],[新增属性]]&amp;"_"&amp;VLOOKUP(表3_32[[#This Row],[女神ID]],表3_3[[女神ID]:[阵营]],3,FALSE),IF(表3_32[[#This Row],[新增属性]]=0,"dailypast_desc_0","goddessup_desc_"&amp;表3_32[[#This Row],[新增属性]]))</f>
        <v>dailypast_desc_0</v>
      </c>
      <c r="I43">
        <v>200</v>
      </c>
      <c r="J43">
        <v>0</v>
      </c>
      <c r="K43" t="str">
        <f>IFERROR(VLOOKUP(表3_32[[#This Row],[新增属性说明]],[1]!表1[#Data],2,FALSE),"")</f>
        <v xml:space="preserve"> </v>
      </c>
    </row>
    <row r="44" spans="1:11" x14ac:dyDescent="0.15">
      <c r="A44" s="3">
        <v>4</v>
      </c>
      <c r="B44" s="4">
        <v>1</v>
      </c>
      <c r="C44" s="3" t="s">
        <v>78</v>
      </c>
      <c r="D44" s="3">
        <v>0</v>
      </c>
      <c r="E44" s="3">
        <v>1000</v>
      </c>
      <c r="F44">
        <v>6</v>
      </c>
      <c r="G44">
        <v>900</v>
      </c>
      <c r="H44" s="3" t="str">
        <f>IF(OR(表3_32[[#This Row],[新增属性]]=7,表3_32[[#This Row],[新增属性]]=6,表3_32[[#This Row],[新增属性]]=1),"goddessup_desc_"&amp;表3_32[[#This Row],[新增属性]]&amp;"_"&amp;VLOOKUP(表3_32[[#This Row],[女神ID]],表3_3[[女神ID]:[阵营]],3,FALSE),IF(表3_32[[#This Row],[新增属性]]=0,"dailypast_desc_0","goddessup_desc_"&amp;表3_32[[#This Row],[新增属性]]))</f>
        <v>goddessup_desc_6_4</v>
      </c>
      <c r="I44">
        <v>200</v>
      </c>
      <c r="J44">
        <v>1</v>
      </c>
      <c r="K44" t="str">
        <f>IFERROR(VLOOKUP(表3_32[[#This Row],[新增属性说明]],[1]!表1[#Data],2,FALSE),"")</f>
        <v>寒冰系鱼产出时长-900秒</v>
      </c>
    </row>
    <row r="45" spans="1:11" x14ac:dyDescent="0.15">
      <c r="A45" s="3">
        <v>4</v>
      </c>
      <c r="B45">
        <v>2</v>
      </c>
      <c r="C45" s="3" t="s">
        <v>507</v>
      </c>
      <c r="D45" s="3">
        <v>100000</v>
      </c>
      <c r="E45" s="3">
        <v>1400</v>
      </c>
      <c r="F45">
        <v>0</v>
      </c>
      <c r="G45">
        <v>0</v>
      </c>
      <c r="H45" s="3" t="str">
        <f>IF(OR(表3_32[[#This Row],[新增属性]]=7,表3_32[[#This Row],[新增属性]]=6,表3_32[[#This Row],[新增属性]]=1),"goddessup_desc_"&amp;表3_32[[#This Row],[新增属性]]&amp;"_"&amp;VLOOKUP(表3_32[[#This Row],[女神ID]],表3_3[[女神ID]:[阵营]],3,FALSE),IF(表3_32[[#This Row],[新增属性]]=0,"dailypast_desc_0","goddessup_desc_"&amp;表3_32[[#This Row],[新增属性]]))</f>
        <v>dailypast_desc_0</v>
      </c>
      <c r="I45">
        <v>275</v>
      </c>
      <c r="J45">
        <v>0</v>
      </c>
      <c r="K45" t="str">
        <f>IFERROR(VLOOKUP(表3_32[[#This Row],[新增属性说明]],[1]!表1[#Data],2,FALSE),"")</f>
        <v xml:space="preserve"> </v>
      </c>
    </row>
    <row r="46" spans="1:11" x14ac:dyDescent="0.15">
      <c r="A46" s="3">
        <v>4</v>
      </c>
      <c r="B46" s="4">
        <v>3</v>
      </c>
      <c r="C46" s="3" t="s">
        <v>478</v>
      </c>
      <c r="D46" s="3">
        <v>200000</v>
      </c>
      <c r="E46" s="3">
        <v>1800</v>
      </c>
      <c r="F46">
        <v>2</v>
      </c>
      <c r="G46">
        <v>0</v>
      </c>
      <c r="H46" s="3" t="str">
        <f>IF(OR(表3_32[[#This Row],[新增属性]]=7,表3_32[[#This Row],[新增属性]]=6,表3_32[[#This Row],[新增属性]]=1),"goddessup_desc_"&amp;表3_32[[#This Row],[新增属性]]&amp;"_"&amp;VLOOKUP(表3_32[[#This Row],[女神ID]],表3_3[[女神ID]:[阵营]],3,FALSE),IF(表3_32[[#This Row],[新增属性]]=0,"dailypast_desc_0","goddessup_desc_"&amp;表3_32[[#This Row],[新增属性]]))</f>
        <v>goddessup_desc_2</v>
      </c>
      <c r="I46">
        <v>350</v>
      </c>
      <c r="J46">
        <v>0</v>
      </c>
      <c r="K46" t="str">
        <f>IFERROR(VLOOKUP(表3_32[[#This Row],[新增属性说明]],[1]!表1[#Data],2,FALSE),"")</f>
        <v>解锁微笑表情</v>
      </c>
    </row>
    <row r="47" spans="1:11" x14ac:dyDescent="0.15">
      <c r="A47" s="3">
        <v>4</v>
      </c>
      <c r="B47">
        <v>4</v>
      </c>
      <c r="C47" s="3" t="s">
        <v>479</v>
      </c>
      <c r="D47" s="3">
        <v>400000</v>
      </c>
      <c r="E47" s="3">
        <v>2200</v>
      </c>
      <c r="F47">
        <v>0</v>
      </c>
      <c r="G47">
        <v>0</v>
      </c>
      <c r="H47" s="3" t="str">
        <f>IF(OR(表3_32[[#This Row],[新增属性]]=7,表3_32[[#This Row],[新增属性]]=6,表3_32[[#This Row],[新增属性]]=1),"goddessup_desc_"&amp;表3_32[[#This Row],[新增属性]]&amp;"_"&amp;VLOOKUP(表3_32[[#This Row],[女神ID]],表3_3[[女神ID]:[阵营]],3,FALSE),IF(表3_32[[#This Row],[新增属性]]=0,"dailypast_desc_0","goddessup_desc_"&amp;表3_32[[#This Row],[新增属性]]))</f>
        <v>dailypast_desc_0</v>
      </c>
      <c r="I47">
        <v>425</v>
      </c>
      <c r="J47">
        <v>0</v>
      </c>
      <c r="K47" t="str">
        <f>IFERROR(VLOOKUP(表3_32[[#This Row],[新增属性说明]],[1]!表1[#Data],2,FALSE),"")</f>
        <v xml:space="preserve"> </v>
      </c>
    </row>
    <row r="48" spans="1:11" x14ac:dyDescent="0.15">
      <c r="A48" s="3">
        <v>4</v>
      </c>
      <c r="B48" s="4">
        <v>5</v>
      </c>
      <c r="C48" s="3" t="s">
        <v>508</v>
      </c>
      <c r="D48" s="3">
        <v>600000</v>
      </c>
      <c r="E48" s="3">
        <v>2600</v>
      </c>
      <c r="F48">
        <v>1</v>
      </c>
      <c r="G48">
        <v>2</v>
      </c>
      <c r="H48" s="3" t="str">
        <f>IF(OR(表3_32[[#This Row],[新增属性]]=7,表3_32[[#This Row],[新增属性]]=6,表3_32[[#This Row],[新增属性]]=1),"goddessup_desc_"&amp;表3_32[[#This Row],[新增属性]]&amp;"_"&amp;VLOOKUP(表3_32[[#This Row],[女神ID]],表3_3[[女神ID]:[阵营]],3,FALSE),IF(表3_32[[#This Row],[新增属性]]=0,"dailypast_desc_0","goddessup_desc_"&amp;表3_32[[#This Row],[新增属性]]))</f>
        <v>goddessup_desc_1_4</v>
      </c>
      <c r="I48">
        <v>500</v>
      </c>
      <c r="J48">
        <v>1</v>
      </c>
      <c r="K48" t="str">
        <f>IFERROR(VLOOKUP(表3_32[[#This Row],[新增属性说明]],[1]!表1[#Data],2,FALSE),"")</f>
        <v>水族馆养鱼上限+2</v>
      </c>
    </row>
    <row r="49" spans="1:11" x14ac:dyDescent="0.15">
      <c r="A49" s="3">
        <v>4</v>
      </c>
      <c r="B49">
        <v>6</v>
      </c>
      <c r="C49" s="3" t="s">
        <v>509</v>
      </c>
      <c r="D49" s="3">
        <v>1000000</v>
      </c>
      <c r="E49" s="3">
        <v>3000</v>
      </c>
      <c r="F49" s="4">
        <v>0</v>
      </c>
      <c r="G49">
        <v>0</v>
      </c>
      <c r="H49" s="3" t="str">
        <f>IF(OR(表3_32[[#This Row],[新增属性]]=7,表3_32[[#This Row],[新增属性]]=6,表3_32[[#This Row],[新增属性]]=1),"goddessup_desc_"&amp;表3_32[[#This Row],[新增属性]]&amp;"_"&amp;VLOOKUP(表3_32[[#This Row],[女神ID]],表3_3[[女神ID]:[阵营]],3,FALSE),IF(表3_32[[#This Row],[新增属性]]=0,"dailypast_desc_0","goddessup_desc_"&amp;表3_32[[#This Row],[新增属性]]))</f>
        <v>dailypast_desc_0</v>
      </c>
      <c r="I49">
        <v>575</v>
      </c>
      <c r="J49">
        <v>0</v>
      </c>
      <c r="K49" t="str">
        <f>IFERROR(VLOOKUP(表3_32[[#This Row],[新增属性说明]],[1]!表1[#Data],2,FALSE),"")</f>
        <v xml:space="preserve"> </v>
      </c>
    </row>
    <row r="50" spans="1:11" x14ac:dyDescent="0.15">
      <c r="A50" s="3">
        <v>4</v>
      </c>
      <c r="B50" s="4">
        <v>7</v>
      </c>
      <c r="C50" s="3" t="s">
        <v>480</v>
      </c>
      <c r="D50" s="3">
        <v>2000000</v>
      </c>
      <c r="E50" s="3">
        <v>3400</v>
      </c>
      <c r="F50" s="4">
        <v>3</v>
      </c>
      <c r="G50">
        <v>0</v>
      </c>
      <c r="H50" s="3" t="str">
        <f>IF(OR(表3_32[[#This Row],[新增属性]]=7,表3_32[[#This Row],[新增属性]]=6,表3_32[[#This Row],[新增属性]]=1),"goddessup_desc_"&amp;表3_32[[#This Row],[新增属性]]&amp;"_"&amp;VLOOKUP(表3_32[[#This Row],[女神ID]],表3_3[[女神ID]:[阵营]],3,FALSE),IF(表3_32[[#This Row],[新增属性]]=0,"dailypast_desc_0","goddessup_desc_"&amp;表3_32[[#This Row],[新增属性]]))</f>
        <v>goddessup_desc_3</v>
      </c>
      <c r="I50">
        <v>650</v>
      </c>
      <c r="J50">
        <v>0</v>
      </c>
      <c r="K50" t="str">
        <f>IFERROR(VLOOKUP(表3_32[[#This Row],[新增属性说明]],[1]!表1[#Data],2,FALSE),"")</f>
        <v>解锁害羞表情</v>
      </c>
    </row>
    <row r="51" spans="1:11" x14ac:dyDescent="0.15">
      <c r="A51" s="3">
        <v>4</v>
      </c>
      <c r="B51">
        <v>8</v>
      </c>
      <c r="C51" s="3" t="s">
        <v>510</v>
      </c>
      <c r="D51" s="3">
        <v>4000000</v>
      </c>
      <c r="E51" s="3">
        <v>3800</v>
      </c>
      <c r="F51">
        <v>11</v>
      </c>
      <c r="G51">
        <v>0.05</v>
      </c>
      <c r="H51" s="3" t="str">
        <f>IF(OR(表3_32[[#This Row],[新增属性]]=7,表3_32[[#This Row],[新增属性]]=6,表3_32[[#This Row],[新增属性]]=1),"goddessup_desc_"&amp;表3_32[[#This Row],[新增属性]]&amp;"_"&amp;VLOOKUP(表3_32[[#This Row],[女神ID]],表3_3[[女神ID]:[阵营]],3,FALSE),IF(表3_32[[#This Row],[新增属性]]=0,"dailypast_desc_0","goddessup_desc_"&amp;表3_32[[#This Row],[新增属性]]))</f>
        <v>goddessup_desc_11</v>
      </c>
      <c r="I51">
        <v>725</v>
      </c>
      <c r="J51">
        <v>0</v>
      </c>
      <c r="K51" t="str">
        <f>IFERROR(VLOOKUP(表3_32[[#This Row],[新增属性说明]],[1]!表1[#Data],2,FALSE),"")</f>
        <v>激光累积速度+5%</v>
      </c>
    </row>
    <row r="52" spans="1:11" x14ac:dyDescent="0.15">
      <c r="A52" s="3">
        <v>4</v>
      </c>
      <c r="B52" s="4">
        <v>9</v>
      </c>
      <c r="C52" s="3" t="s">
        <v>481</v>
      </c>
      <c r="D52" s="3">
        <v>6000000</v>
      </c>
      <c r="E52" s="3">
        <v>4200</v>
      </c>
      <c r="F52">
        <v>4</v>
      </c>
      <c r="G52">
        <v>0</v>
      </c>
      <c r="H52" s="3" t="str">
        <f>IF(OR(表3_32[[#This Row],[新增属性]]=7,表3_32[[#This Row],[新增属性]]=6,表3_32[[#This Row],[新增属性]]=1),"goddessup_desc_"&amp;表3_32[[#This Row],[新增属性]]&amp;"_"&amp;VLOOKUP(表3_32[[#This Row],[女神ID]],表3_3[[女神ID]:[阵营]],3,FALSE),IF(表3_32[[#This Row],[新增属性]]=0,"dailypast_desc_0","goddessup_desc_"&amp;表3_32[[#This Row],[新增属性]]))</f>
        <v>goddessup_desc_4</v>
      </c>
      <c r="I52">
        <v>800</v>
      </c>
      <c r="J52">
        <v>0</v>
      </c>
      <c r="K52" t="str">
        <f>IFERROR(VLOOKUP(表3_32[[#This Row],[新增属性说明]],[1]!表1[#Data],2,FALSE),"")</f>
        <v>解锁卖萌表情</v>
      </c>
    </row>
    <row r="53" spans="1:11" x14ac:dyDescent="0.15">
      <c r="A53" s="3">
        <v>4</v>
      </c>
      <c r="B53">
        <v>10</v>
      </c>
      <c r="C53" s="3" t="s">
        <v>511</v>
      </c>
      <c r="D53" s="3">
        <v>8000000</v>
      </c>
      <c r="E53" s="3">
        <v>4600</v>
      </c>
      <c r="F53" s="4">
        <v>9</v>
      </c>
      <c r="G53">
        <v>0.1</v>
      </c>
      <c r="H53" s="3" t="str">
        <f>IF(OR(表3_32[[#This Row],[新增属性]]=7,表3_32[[#This Row],[新增属性]]=6,表3_32[[#This Row],[新增属性]]=1),"goddessup_desc_"&amp;表3_32[[#This Row],[新增属性]]&amp;"_"&amp;VLOOKUP(表3_32[[#This Row],[女神ID]],表3_3[[女神ID]:[阵营]],3,FALSE),IF(表3_32[[#This Row],[新增属性]]=0,"dailypast_desc_0","goddessup_desc_"&amp;表3_32[[#This Row],[新增属性]]))</f>
        <v>goddessup_desc_9</v>
      </c>
      <c r="I53">
        <v>875</v>
      </c>
      <c r="J53">
        <v>0</v>
      </c>
      <c r="K53" t="str">
        <f>IFERROR(VLOOKUP(表3_32[[#This Row],[新增属性说明]],[1]!表1[#Data],2,FALSE),"")</f>
        <v>冰冻持续时长+10%</v>
      </c>
    </row>
    <row r="54" spans="1:11" x14ac:dyDescent="0.15">
      <c r="A54" s="3">
        <v>4</v>
      </c>
      <c r="B54" s="4">
        <v>11</v>
      </c>
      <c r="C54" s="3" t="s">
        <v>512</v>
      </c>
      <c r="D54" s="3">
        <v>12000000</v>
      </c>
      <c r="E54" s="3">
        <v>5000</v>
      </c>
      <c r="F54" s="4">
        <v>5</v>
      </c>
      <c r="G54">
        <v>0</v>
      </c>
      <c r="H54" s="3" t="str">
        <f>IF(OR(表3_32[[#This Row],[新增属性]]=7,表3_32[[#This Row],[新增属性]]=6,表3_32[[#This Row],[新增属性]]=1),"goddessup_desc_"&amp;表3_32[[#This Row],[新增属性]]&amp;"_"&amp;VLOOKUP(表3_32[[#This Row],[女神ID]],表3_3[[女神ID]:[阵营]],3,FALSE),IF(表3_32[[#This Row],[新增属性]]=0,"dailypast_desc_0","goddessup_desc_"&amp;表3_32[[#This Row],[新增属性]]))</f>
        <v>goddessup_desc_5</v>
      </c>
      <c r="I54">
        <v>950</v>
      </c>
      <c r="J54">
        <v>0</v>
      </c>
      <c r="K54" t="str">
        <f>IFERROR(VLOOKUP(表3_32[[#This Row],[新增属性说明]],[1]!表1[#Data],2,FALSE),"")</f>
        <v>解锁缠绵表情</v>
      </c>
    </row>
    <row r="55" spans="1:11" x14ac:dyDescent="0.15">
      <c r="A55" s="3">
        <v>4</v>
      </c>
      <c r="B55">
        <v>12</v>
      </c>
      <c r="C55" s="3" t="s">
        <v>513</v>
      </c>
      <c r="D55" s="3">
        <v>16000000</v>
      </c>
      <c r="E55" s="3">
        <v>5400</v>
      </c>
      <c r="F55" s="4">
        <v>7</v>
      </c>
      <c r="G55">
        <v>1</v>
      </c>
      <c r="H55" s="3" t="str">
        <f>IF(OR(表3_32[[#This Row],[新增属性]]=7,表3_32[[#This Row],[新增属性]]=6,表3_32[[#This Row],[新增属性]]=1),"goddessup_desc_"&amp;表3_32[[#This Row],[新增属性]]&amp;"_"&amp;VLOOKUP(表3_32[[#This Row],[女神ID]],表3_3[[女神ID]:[阵营]],3,FALSE),IF(表3_32[[#This Row],[新增属性]]=0,"dailypast_desc_0","goddessup_desc_"&amp;表3_32[[#This Row],[新增属性]]))</f>
        <v>goddessup_desc_7_4</v>
      </c>
      <c r="I55">
        <v>1100</v>
      </c>
      <c r="J55">
        <v>1</v>
      </c>
      <c r="K55" t="str">
        <f>IFERROR(VLOOKUP(表3_32[[#This Row],[新增属性说明]],[1]!表1[#Data],2,FALSE),"")</f>
        <v>寒冰系鱼产量+1</v>
      </c>
    </row>
    <row r="56" spans="1:11" x14ac:dyDescent="0.15">
      <c r="A56" s="3">
        <v>5</v>
      </c>
      <c r="B56" s="4">
        <v>0</v>
      </c>
      <c r="C56" s="3" t="s">
        <v>78</v>
      </c>
      <c r="D56" s="3">
        <v>0</v>
      </c>
      <c r="E56" s="3">
        <v>0</v>
      </c>
      <c r="F56" s="4">
        <v>0</v>
      </c>
      <c r="G56">
        <v>0</v>
      </c>
      <c r="H56" s="3" t="str">
        <f>IF(OR(表3_32[[#This Row],[新增属性]]=7,表3_32[[#This Row],[新增属性]]=6,表3_32[[#This Row],[新增属性]]=1),"goddessup_desc_"&amp;表3_32[[#This Row],[新增属性]]&amp;"_"&amp;VLOOKUP(表3_32[[#This Row],[女神ID]],表3_3[[女神ID]:[阵营]],3,FALSE),IF(表3_32[[#This Row],[新增属性]]=0,"dailypast_desc_0","goddessup_desc_"&amp;表3_32[[#This Row],[新增属性]]))</f>
        <v>dailypast_desc_0</v>
      </c>
      <c r="I56">
        <v>100</v>
      </c>
      <c r="J56">
        <v>0</v>
      </c>
      <c r="K56" t="str">
        <f>IFERROR(VLOOKUP(表3_32[[#This Row],[新增属性说明]],[1]!表1[#Data],2,FALSE),"")</f>
        <v xml:space="preserve"> </v>
      </c>
    </row>
  </sheetData>
  <phoneticPr fontId="5" type="noConversion"/>
  <pageMargins left="0.69930555555555596" right="0.69930555555555596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N123"/>
  <sheetViews>
    <sheetView workbookViewId="0">
      <selection activeCell="B59" sqref="B59:B62"/>
    </sheetView>
  </sheetViews>
  <sheetFormatPr defaultColWidth="9" defaultRowHeight="13.5" x14ac:dyDescent="0.15"/>
  <cols>
    <col min="1" max="1" width="9" customWidth="1"/>
    <col min="2" max="2" width="61.625" bestFit="1" customWidth="1"/>
    <col min="3" max="3" width="54" bestFit="1" customWidth="1"/>
  </cols>
  <sheetData>
    <row r="1" spans="1:14" ht="16.5" x14ac:dyDescent="0.3">
      <c r="A1" s="1" t="s">
        <v>29</v>
      </c>
      <c r="B1" s="1" t="s">
        <v>102</v>
      </c>
      <c r="C1" s="1" t="s">
        <v>80</v>
      </c>
    </row>
    <row r="2" spans="1:14" ht="16.5" x14ac:dyDescent="0.15">
      <c r="A2" s="2" t="s">
        <v>39</v>
      </c>
      <c r="B2" s="2" t="s">
        <v>41</v>
      </c>
      <c r="C2" s="2" t="s">
        <v>41</v>
      </c>
    </row>
    <row r="3" spans="1:14" x14ac:dyDescent="0.15">
      <c r="A3" s="3" t="s">
        <v>83</v>
      </c>
      <c r="B3" s="3" t="s">
        <v>100</v>
      </c>
      <c r="C3" s="3" t="s">
        <v>101</v>
      </c>
    </row>
    <row r="4" spans="1:14" x14ac:dyDescent="0.15">
      <c r="A4" s="7">
        <v>1</v>
      </c>
      <c r="B4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[10101,10102,10103,10104,10105,20101,20102,20103,20104]</v>
      </c>
      <c r="C4" s="3" t="s">
        <v>151</v>
      </c>
      <c r="M4">
        <v>1</v>
      </c>
      <c r="N4" t="s">
        <v>121</v>
      </c>
    </row>
    <row r="5" spans="1:14" x14ac:dyDescent="0.15">
      <c r="A5" s="7">
        <v>2</v>
      </c>
      <c r="B5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[10101,10102,10103,10104,10105,20101,20102,20103,20104]</v>
      </c>
      <c r="C5" s="3" t="s">
        <v>152</v>
      </c>
      <c r="M5">
        <v>2</v>
      </c>
      <c r="N5" t="s">
        <v>122</v>
      </c>
    </row>
    <row r="6" spans="1:14" x14ac:dyDescent="0.15">
      <c r="A6" s="7">
        <v>3</v>
      </c>
      <c r="B6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[10101,10102,10103,10104,10105,20101,20102,20103,20104]</v>
      </c>
      <c r="C6" s="3" t="s">
        <v>153</v>
      </c>
      <c r="M6">
        <v>3</v>
      </c>
      <c r="N6" t="s">
        <v>123</v>
      </c>
    </row>
    <row r="7" spans="1:14" x14ac:dyDescent="0.15">
      <c r="A7" s="7">
        <v>4</v>
      </c>
      <c r="B7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[10101,10102,10103,10104,10105,20101,20102,20103,20104]</v>
      </c>
      <c r="C7" s="3" t="s">
        <v>154</v>
      </c>
      <c r="M7">
        <v>4</v>
      </c>
      <c r="N7" t="s">
        <v>124</v>
      </c>
    </row>
    <row r="8" spans="1:14" x14ac:dyDescent="0.15">
      <c r="A8" s="7">
        <v>5</v>
      </c>
      <c r="B8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[30005]</v>
      </c>
      <c r="C8" s="3" t="s">
        <v>155</v>
      </c>
      <c r="M8">
        <v>5</v>
      </c>
      <c r="N8" t="s">
        <v>125</v>
      </c>
    </row>
    <row r="9" spans="1:14" x14ac:dyDescent="0.15">
      <c r="A9" s="7">
        <v>6</v>
      </c>
      <c r="B9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[10201,10202,10203,10204,10205,20201,20202,20203,20204]</v>
      </c>
      <c r="C9" s="3" t="s">
        <v>156</v>
      </c>
      <c r="M9">
        <v>6</v>
      </c>
      <c r="N9" t="s">
        <v>126</v>
      </c>
    </row>
    <row r="10" spans="1:14" x14ac:dyDescent="0.15">
      <c r="A10" s="7">
        <v>7</v>
      </c>
      <c r="B10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[10201,10202,10203,10204,10205,20201,20202,20203,20204]</v>
      </c>
      <c r="C10" s="3" t="s">
        <v>157</v>
      </c>
      <c r="M10">
        <v>7</v>
      </c>
      <c r="N10" t="s">
        <v>127</v>
      </c>
    </row>
    <row r="11" spans="1:14" x14ac:dyDescent="0.15">
      <c r="A11" s="7">
        <v>8</v>
      </c>
      <c r="B11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[10201,10202,10203,10204,10205,20201,20202,20203,20204]</v>
      </c>
      <c r="C11" s="3" t="s">
        <v>158</v>
      </c>
      <c r="M11">
        <v>8</v>
      </c>
      <c r="N11" t="s">
        <v>128</v>
      </c>
    </row>
    <row r="12" spans="1:14" x14ac:dyDescent="0.15">
      <c r="A12" s="7">
        <v>9</v>
      </c>
      <c r="B12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[10201,10202,10203,10204,10205,20201,20202,20203,20204]</v>
      </c>
      <c r="C12" s="3" t="s">
        <v>159</v>
      </c>
      <c r="M12">
        <v>9</v>
      </c>
      <c r="N12" t="s">
        <v>129</v>
      </c>
    </row>
    <row r="13" spans="1:14" x14ac:dyDescent="0.15">
      <c r="A13" s="7">
        <v>10</v>
      </c>
      <c r="B13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[30010]</v>
      </c>
      <c r="C13" s="3" t="s">
        <v>160</v>
      </c>
      <c r="M13">
        <v>10</v>
      </c>
      <c r="N13" t="s">
        <v>130</v>
      </c>
    </row>
    <row r="14" spans="1:14" x14ac:dyDescent="0.15">
      <c r="A14" s="7">
        <v>11</v>
      </c>
      <c r="B14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[10301,10302,10303,10304,10305,20301,20302,20303,20304]</v>
      </c>
      <c r="C14" s="3" t="s">
        <v>161</v>
      </c>
      <c r="M14">
        <v>11</v>
      </c>
      <c r="N14" t="s">
        <v>131</v>
      </c>
    </row>
    <row r="15" spans="1:14" x14ac:dyDescent="0.15">
      <c r="A15" s="7">
        <v>12</v>
      </c>
      <c r="B15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[10301,10302,10303,10304,10305,20301,20302,20303,20304]</v>
      </c>
      <c r="C15" s="3" t="s">
        <v>162</v>
      </c>
      <c r="M15">
        <v>12</v>
      </c>
      <c r="N15" t="s">
        <v>132</v>
      </c>
    </row>
    <row r="16" spans="1:14" x14ac:dyDescent="0.15">
      <c r="A16" s="7">
        <v>13</v>
      </c>
      <c r="B16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[10301,10302,10303,10304,10305,20301,20302,20303,20304]</v>
      </c>
      <c r="C16" s="3" t="s">
        <v>163</v>
      </c>
      <c r="M16">
        <v>13</v>
      </c>
      <c r="N16" t="s">
        <v>133</v>
      </c>
    </row>
    <row r="17" spans="1:14" x14ac:dyDescent="0.15">
      <c r="A17" s="7">
        <v>14</v>
      </c>
      <c r="B17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[10301,10302,10303,10304,10305,20301,20302,20303,20304]</v>
      </c>
      <c r="C17" s="3" t="s">
        <v>164</v>
      </c>
      <c r="M17">
        <v>14</v>
      </c>
      <c r="N17" s="19" t="s">
        <v>134</v>
      </c>
    </row>
    <row r="18" spans="1:14" x14ac:dyDescent="0.15">
      <c r="A18" s="7">
        <v>15</v>
      </c>
      <c r="B18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[30015]</v>
      </c>
      <c r="C18" s="3" t="s">
        <v>165</v>
      </c>
      <c r="M18">
        <v>15</v>
      </c>
      <c r="N18" s="19" t="s">
        <v>135</v>
      </c>
    </row>
    <row r="19" spans="1:14" x14ac:dyDescent="0.15">
      <c r="A19" s="7">
        <v>16</v>
      </c>
      <c r="B19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[10401,10402,10403,10404,10405,20401,20402,20403,20404]</v>
      </c>
      <c r="C19" s="3" t="s">
        <v>166</v>
      </c>
      <c r="M19">
        <v>16</v>
      </c>
      <c r="N19" s="19" t="s">
        <v>136</v>
      </c>
    </row>
    <row r="20" spans="1:14" x14ac:dyDescent="0.15">
      <c r="A20" s="7">
        <v>17</v>
      </c>
      <c r="B20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[10401,10402,10403,10404,10405,20401,20402,20403,20404]</v>
      </c>
      <c r="C20" s="3" t="s">
        <v>167</v>
      </c>
      <c r="M20">
        <v>17</v>
      </c>
      <c r="N20" s="19" t="s">
        <v>137</v>
      </c>
    </row>
    <row r="21" spans="1:14" x14ac:dyDescent="0.15">
      <c r="A21" s="7">
        <v>18</v>
      </c>
      <c r="B21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[10401,10402,10403,10404,10405,20401,20402,20403,20404]</v>
      </c>
      <c r="C21" s="3" t="s">
        <v>168</v>
      </c>
      <c r="M21">
        <v>18</v>
      </c>
      <c r="N21" s="19" t="s">
        <v>257</v>
      </c>
    </row>
    <row r="22" spans="1:14" x14ac:dyDescent="0.15">
      <c r="A22" s="7">
        <v>19</v>
      </c>
      <c r="B22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[10401,10402,10403,10404,10405,20401,20402,20403,20404]</v>
      </c>
      <c r="C22" s="3" t="s">
        <v>169</v>
      </c>
      <c r="M22">
        <v>91</v>
      </c>
      <c r="N22" s="19" t="s">
        <v>258</v>
      </c>
    </row>
    <row r="23" spans="1:14" x14ac:dyDescent="0.15">
      <c r="A23" s="7">
        <v>20</v>
      </c>
      <c r="B23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[30020]</v>
      </c>
      <c r="C23" s="3" t="s">
        <v>170</v>
      </c>
      <c r="M23">
        <v>92</v>
      </c>
      <c r="N23" s="19" t="s">
        <v>259</v>
      </c>
    </row>
    <row r="24" spans="1:14" x14ac:dyDescent="0.15">
      <c r="A24" s="7">
        <v>21</v>
      </c>
      <c r="B24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[10501,10502,10503,10504,10505,20501,20502,20503,20504]</v>
      </c>
      <c r="C24" s="3" t="s">
        <v>171</v>
      </c>
      <c r="M24">
        <v>93</v>
      </c>
      <c r="N24" s="19" t="s">
        <v>260</v>
      </c>
    </row>
    <row r="25" spans="1:14" x14ac:dyDescent="0.15">
      <c r="A25" s="7">
        <v>22</v>
      </c>
      <c r="B25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[10501,10502,10503,10504,10505,20501,20502,20503,20504]</v>
      </c>
      <c r="C25" s="3" t="s">
        <v>172</v>
      </c>
      <c r="M25">
        <v>94</v>
      </c>
      <c r="N25" s="19" t="s">
        <v>261</v>
      </c>
    </row>
    <row r="26" spans="1:14" x14ac:dyDescent="0.15">
      <c r="A26" s="7">
        <v>23</v>
      </c>
      <c r="B26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[10501,10502,10503,10504,10505,20501,20502,20503,20504]</v>
      </c>
      <c r="C26" s="3" t="s">
        <v>173</v>
      </c>
      <c r="M26">
        <v>95</v>
      </c>
      <c r="N26" s="19" t="s">
        <v>262</v>
      </c>
    </row>
    <row r="27" spans="1:14" x14ac:dyDescent="0.15">
      <c r="A27" s="7">
        <v>24</v>
      </c>
      <c r="B27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[10501,10502,10503,10504,10505,20501,20502,20503,20504]</v>
      </c>
      <c r="C27" s="3" t="s">
        <v>174</v>
      </c>
      <c r="M27">
        <v>96</v>
      </c>
      <c r="N27" s="19" t="s">
        <v>263</v>
      </c>
    </row>
    <row r="28" spans="1:14" x14ac:dyDescent="0.15">
      <c r="A28" s="7">
        <v>25</v>
      </c>
      <c r="B28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[30025]</v>
      </c>
      <c r="C28" s="3" t="s">
        <v>175</v>
      </c>
      <c r="M28">
        <v>97</v>
      </c>
      <c r="N28" t="s">
        <v>264</v>
      </c>
    </row>
    <row r="29" spans="1:14" x14ac:dyDescent="0.15">
      <c r="A29" s="7">
        <v>26</v>
      </c>
      <c r="B29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[10601,10602,10603,10604,10605,20601,20602,20603,20604]</v>
      </c>
      <c r="C29" s="3" t="s">
        <v>176</v>
      </c>
      <c r="M29">
        <v>98</v>
      </c>
      <c r="N29" t="s">
        <v>265</v>
      </c>
    </row>
    <row r="30" spans="1:14" x14ac:dyDescent="0.15">
      <c r="A30" s="7">
        <v>27</v>
      </c>
      <c r="B30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[10601,10602,10603,10604,10605,20601,20602,20603,20604]</v>
      </c>
      <c r="C30" s="3" t="s">
        <v>177</v>
      </c>
      <c r="M30">
        <v>99</v>
      </c>
      <c r="N30" t="s">
        <v>266</v>
      </c>
    </row>
    <row r="31" spans="1:14" x14ac:dyDescent="0.15">
      <c r="A31" s="7">
        <v>28</v>
      </c>
      <c r="B31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[10601,10602,10603,10604,10605,20601,20602,20603,20604]</v>
      </c>
      <c r="C31" s="3" t="s">
        <v>178</v>
      </c>
      <c r="M31">
        <v>100</v>
      </c>
      <c r="N31" t="s">
        <v>267</v>
      </c>
    </row>
    <row r="32" spans="1:14" x14ac:dyDescent="0.15">
      <c r="A32" s="7">
        <v>29</v>
      </c>
      <c r="B32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[10601,10602,10603,10604,10605,20601,20602,20603,20604]</v>
      </c>
      <c r="C32" s="3" t="s">
        <v>179</v>
      </c>
      <c r="M32">
        <v>101</v>
      </c>
      <c r="N32" t="s">
        <v>268</v>
      </c>
    </row>
    <row r="33" spans="1:14" x14ac:dyDescent="0.15">
      <c r="A33" s="7">
        <v>30</v>
      </c>
      <c r="B33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[30030]</v>
      </c>
      <c r="C33" s="3" t="s">
        <v>180</v>
      </c>
      <c r="M33">
        <v>102</v>
      </c>
      <c r="N33" t="s">
        <v>269</v>
      </c>
    </row>
    <row r="34" spans="1:14" x14ac:dyDescent="0.15">
      <c r="A34" s="7">
        <v>31</v>
      </c>
      <c r="B34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[10701,10702,10703,10704,10705,20701,20702,20703,20704]</v>
      </c>
      <c r="C34" s="3" t="s">
        <v>181</v>
      </c>
      <c r="M34">
        <v>103</v>
      </c>
      <c r="N34" t="s">
        <v>270</v>
      </c>
    </row>
    <row r="35" spans="1:14" x14ac:dyDescent="0.15">
      <c r="A35" s="7">
        <v>32</v>
      </c>
      <c r="B35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[10701,10702,10703,10704,10705,20701,20702,20703,20704]</v>
      </c>
      <c r="C35" s="3" t="s">
        <v>182</v>
      </c>
      <c r="M35">
        <v>104</v>
      </c>
      <c r="N35" t="s">
        <v>271</v>
      </c>
    </row>
    <row r="36" spans="1:14" x14ac:dyDescent="0.15">
      <c r="A36" s="7">
        <v>33</v>
      </c>
      <c r="B36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[10701,10702,10703,10704,10705,20701,20702,20703,20704]</v>
      </c>
      <c r="C36" s="3" t="s">
        <v>183</v>
      </c>
      <c r="M36">
        <v>105</v>
      </c>
      <c r="N36" t="s">
        <v>272</v>
      </c>
    </row>
    <row r="37" spans="1:14" x14ac:dyDescent="0.15">
      <c r="A37" s="7">
        <v>34</v>
      </c>
      <c r="B37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[10701,10702,10703,10704,10705,20701,20702,20703,20704]</v>
      </c>
      <c r="C37" s="3" t="s">
        <v>184</v>
      </c>
      <c r="M37">
        <v>106</v>
      </c>
      <c r="N37" t="s">
        <v>273</v>
      </c>
    </row>
    <row r="38" spans="1:14" x14ac:dyDescent="0.15">
      <c r="A38" s="7">
        <v>35</v>
      </c>
      <c r="B38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[30035]</v>
      </c>
      <c r="C38" s="3" t="s">
        <v>185</v>
      </c>
      <c r="M38">
        <v>107</v>
      </c>
      <c r="N38" t="s">
        <v>274</v>
      </c>
    </row>
    <row r="39" spans="1:14" x14ac:dyDescent="0.15">
      <c r="A39" s="7">
        <v>36</v>
      </c>
      <c r="B39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[10801,10802,10803,10804,10805,20801,20802,20803,20804]</v>
      </c>
      <c r="C39" s="3" t="s">
        <v>186</v>
      </c>
      <c r="M39">
        <v>108</v>
      </c>
      <c r="N39" t="s">
        <v>275</v>
      </c>
    </row>
    <row r="40" spans="1:14" x14ac:dyDescent="0.15">
      <c r="A40" s="7">
        <v>37</v>
      </c>
      <c r="B40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[10801,10802,10803,10804,10805,20801,20802,20803,20804]</v>
      </c>
      <c r="C40" s="3" t="s">
        <v>187</v>
      </c>
      <c r="M40">
        <v>109</v>
      </c>
      <c r="N40" t="s">
        <v>276</v>
      </c>
    </row>
    <row r="41" spans="1:14" x14ac:dyDescent="0.15">
      <c r="A41" s="7">
        <v>38</v>
      </c>
      <c r="B41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[10801,10802,10803,10804,10805,20801,20802,20803,20804]</v>
      </c>
      <c r="C41" s="3" t="s">
        <v>188</v>
      </c>
      <c r="M41">
        <v>110</v>
      </c>
      <c r="N41" t="s">
        <v>277</v>
      </c>
    </row>
    <row r="42" spans="1:14" x14ac:dyDescent="0.15">
      <c r="A42" s="7">
        <v>39</v>
      </c>
      <c r="B42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[10801,10802,10803,10804,10805,20801,20802,20803,20804]</v>
      </c>
      <c r="C42" s="3" t="s">
        <v>189</v>
      </c>
      <c r="M42">
        <v>111</v>
      </c>
      <c r="N42" t="s">
        <v>278</v>
      </c>
    </row>
    <row r="43" spans="1:14" x14ac:dyDescent="0.15">
      <c r="A43" s="7">
        <v>40</v>
      </c>
      <c r="B43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[30040]</v>
      </c>
      <c r="C43" s="3" t="s">
        <v>190</v>
      </c>
      <c r="M43">
        <v>112</v>
      </c>
      <c r="N43" t="s">
        <v>279</v>
      </c>
    </row>
    <row r="44" spans="1:14" x14ac:dyDescent="0.15">
      <c r="A44" s="7">
        <v>41</v>
      </c>
      <c r="B44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[10901,10902,10903,10904,10905,20901,20902,20903,20904]</v>
      </c>
      <c r="C44" s="3" t="s">
        <v>191</v>
      </c>
      <c r="M44">
        <v>113</v>
      </c>
      <c r="N44" t="s">
        <v>280</v>
      </c>
    </row>
    <row r="45" spans="1:14" x14ac:dyDescent="0.15">
      <c r="A45" s="7">
        <v>42</v>
      </c>
      <c r="B45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[10901,10902,10903,10904,10905,20901,20902,20903,20904]</v>
      </c>
      <c r="C45" s="3" t="s">
        <v>192</v>
      </c>
      <c r="M45">
        <v>114</v>
      </c>
      <c r="N45" t="s">
        <v>281</v>
      </c>
    </row>
    <row r="46" spans="1:14" x14ac:dyDescent="0.15">
      <c r="A46" s="7">
        <v>43</v>
      </c>
      <c r="B46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[10901,10902,10903,10904,10905,20901,20902,20903,20904]</v>
      </c>
      <c r="C46" s="3" t="s">
        <v>193</v>
      </c>
      <c r="M46">
        <v>115</v>
      </c>
      <c r="N46" t="s">
        <v>282</v>
      </c>
    </row>
    <row r="47" spans="1:14" x14ac:dyDescent="0.15">
      <c r="A47" s="7">
        <v>44</v>
      </c>
      <c r="B47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[10901,10902,10903,10904,10905,20901,20902,20903,20904]</v>
      </c>
      <c r="C47" s="3" t="s">
        <v>194</v>
      </c>
      <c r="M47">
        <v>116</v>
      </c>
      <c r="N47" t="s">
        <v>283</v>
      </c>
    </row>
    <row r="48" spans="1:14" x14ac:dyDescent="0.15">
      <c r="A48" s="7">
        <v>45</v>
      </c>
      <c r="B48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[30045]</v>
      </c>
      <c r="C48" s="3" t="s">
        <v>195</v>
      </c>
      <c r="M48">
        <v>117</v>
      </c>
      <c r="N48" t="s">
        <v>284</v>
      </c>
    </row>
    <row r="49" spans="1:14" x14ac:dyDescent="0.15">
      <c r="A49" s="7">
        <v>46</v>
      </c>
      <c r="B49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[11001,11002,11003,11004,11005,21001,21002,21003,21004]</v>
      </c>
      <c r="C49" s="3" t="s">
        <v>196</v>
      </c>
      <c r="M49">
        <v>118</v>
      </c>
      <c r="N49" t="s">
        <v>285</v>
      </c>
    </row>
    <row r="50" spans="1:14" x14ac:dyDescent="0.15">
      <c r="A50" s="7">
        <v>47</v>
      </c>
      <c r="B50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[11001,11002,11003,11004,11005,21001,21002,21003,21004]</v>
      </c>
      <c r="C50" s="3" t="s">
        <v>197</v>
      </c>
      <c r="M50">
        <v>119</v>
      </c>
      <c r="N50" t="s">
        <v>286</v>
      </c>
    </row>
    <row r="51" spans="1:14" x14ac:dyDescent="0.15">
      <c r="A51" s="7">
        <v>48</v>
      </c>
      <c r="B51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[11001,11002,11003,11004,11005,21001,21002,21003,21004]</v>
      </c>
      <c r="C51" s="3" t="s">
        <v>198</v>
      </c>
      <c r="M51">
        <v>120</v>
      </c>
      <c r="N51" t="s">
        <v>287</v>
      </c>
    </row>
    <row r="52" spans="1:14" x14ac:dyDescent="0.15">
      <c r="A52" s="7">
        <v>49</v>
      </c>
      <c r="B52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[11001,11002,11003,11004,11005,21001,21002,21003,21004]</v>
      </c>
      <c r="C52" s="3" t="s">
        <v>199</v>
      </c>
    </row>
    <row r="53" spans="1:14" x14ac:dyDescent="0.15">
      <c r="A53" s="7">
        <v>50</v>
      </c>
      <c r="B53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[30050]</v>
      </c>
      <c r="C53" s="3" t="s">
        <v>200</v>
      </c>
    </row>
    <row r="54" spans="1:14" x14ac:dyDescent="0.15">
      <c r="A54" s="7">
        <v>51</v>
      </c>
      <c r="B54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[11101,11102,11103,11104,11105,21101,21102,21103,21104]</v>
      </c>
      <c r="C54" s="3" t="s">
        <v>201</v>
      </c>
    </row>
    <row r="55" spans="1:14" x14ac:dyDescent="0.15">
      <c r="A55" s="7">
        <v>52</v>
      </c>
      <c r="B55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[11101,11102,11103,11104,11105,21101,21102,21103,21104]</v>
      </c>
      <c r="C55" s="3" t="s">
        <v>202</v>
      </c>
    </row>
    <row r="56" spans="1:14" x14ac:dyDescent="0.15">
      <c r="A56" s="7">
        <v>53</v>
      </c>
      <c r="B56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[11101,11102,11103,11104,11105,21101,21102,21103,21104]</v>
      </c>
      <c r="C56" s="3" t="s">
        <v>203</v>
      </c>
    </row>
    <row r="57" spans="1:14" x14ac:dyDescent="0.15">
      <c r="A57" s="7">
        <v>54</v>
      </c>
      <c r="B57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[11101,11102,11103,11104,11105,21101,21102,21103,21104]</v>
      </c>
      <c r="C57" s="3" t="s">
        <v>204</v>
      </c>
    </row>
    <row r="58" spans="1:14" x14ac:dyDescent="0.15">
      <c r="A58" s="7">
        <v>55</v>
      </c>
      <c r="B58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[30055]</v>
      </c>
      <c r="C58" s="3" t="s">
        <v>205</v>
      </c>
    </row>
    <row r="59" spans="1:14" x14ac:dyDescent="0.15">
      <c r="A59" s="7">
        <v>56</v>
      </c>
      <c r="B59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[11201,11202,11203,11204,11205,21201,21202,21203,21204]</v>
      </c>
      <c r="C59" s="3" t="s">
        <v>206</v>
      </c>
    </row>
    <row r="60" spans="1:14" x14ac:dyDescent="0.15">
      <c r="A60" s="7">
        <v>57</v>
      </c>
      <c r="B60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[11201,11202,11203,11204,11205,21201,21202,21203,21204]</v>
      </c>
      <c r="C60" s="3" t="s">
        <v>207</v>
      </c>
    </row>
    <row r="61" spans="1:14" x14ac:dyDescent="0.15">
      <c r="A61" s="7">
        <v>58</v>
      </c>
      <c r="B61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[11201,11202,11203,11204,11205,21201,21202,21203,21204]</v>
      </c>
      <c r="C61" s="3" t="s">
        <v>208</v>
      </c>
    </row>
    <row r="62" spans="1:14" x14ac:dyDescent="0.15">
      <c r="A62" s="7">
        <v>59</v>
      </c>
      <c r="B62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[11201,11202,11203,11204,11205,21201,21202,21203,21204]</v>
      </c>
      <c r="C62" s="3" t="s">
        <v>209</v>
      </c>
    </row>
    <row r="63" spans="1:14" x14ac:dyDescent="0.15">
      <c r="A63" s="7">
        <v>60</v>
      </c>
      <c r="B63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[30060]</v>
      </c>
      <c r="C63" s="3" t="s">
        <v>210</v>
      </c>
    </row>
    <row r="64" spans="1:14" x14ac:dyDescent="0.15">
      <c r="A64" s="7">
        <v>61</v>
      </c>
      <c r="B64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[11301,11302,11303,11304,11305,21301,21302,21303,21304]</v>
      </c>
      <c r="C64" s="3" t="s">
        <v>211</v>
      </c>
    </row>
    <row r="65" spans="1:3" x14ac:dyDescent="0.15">
      <c r="A65" s="7">
        <v>62</v>
      </c>
      <c r="B65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[11301,11302,11303,11304,11305,21301,21302,21303,21304]</v>
      </c>
      <c r="C65" s="3" t="s">
        <v>212</v>
      </c>
    </row>
    <row r="66" spans="1:3" x14ac:dyDescent="0.15">
      <c r="A66" s="7">
        <v>63</v>
      </c>
      <c r="B66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[11301,11302,11303,11304,11305,21301,21302,21303,21304]</v>
      </c>
      <c r="C66" s="3" t="s">
        <v>213</v>
      </c>
    </row>
    <row r="67" spans="1:3" x14ac:dyDescent="0.15">
      <c r="A67" s="7">
        <v>64</v>
      </c>
      <c r="B67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[11301,11302,11303,11304,11305,21301,21302,21303,21304]</v>
      </c>
      <c r="C67" s="3" t="s">
        <v>214</v>
      </c>
    </row>
    <row r="68" spans="1:3" x14ac:dyDescent="0.15">
      <c r="A68" s="7">
        <v>65</v>
      </c>
      <c r="B68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[30065]</v>
      </c>
      <c r="C68" s="3" t="s">
        <v>215</v>
      </c>
    </row>
    <row r="69" spans="1:3" x14ac:dyDescent="0.15">
      <c r="A69" s="7">
        <v>66</v>
      </c>
      <c r="B69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[11401,11402,11403,21401,21402,21403,21404]</v>
      </c>
      <c r="C69" s="3" t="s">
        <v>216</v>
      </c>
    </row>
    <row r="70" spans="1:3" x14ac:dyDescent="0.15">
      <c r="A70" s="7">
        <v>67</v>
      </c>
      <c r="B70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[11401,11402,11403,21401,21402,21403,21404]</v>
      </c>
      <c r="C70" s="3" t="s">
        <v>217</v>
      </c>
    </row>
    <row r="71" spans="1:3" x14ac:dyDescent="0.15">
      <c r="A71" s="7">
        <v>68</v>
      </c>
      <c r="B71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[11401,11402,11403,21401,21402,21403,21404]</v>
      </c>
      <c r="C71" s="3" t="s">
        <v>218</v>
      </c>
    </row>
    <row r="72" spans="1:3" x14ac:dyDescent="0.15">
      <c r="A72" s="7">
        <v>69</v>
      </c>
      <c r="B72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[11401,11402,11403,21401,21402,21403,21404]</v>
      </c>
      <c r="C72" s="3" t="s">
        <v>219</v>
      </c>
    </row>
    <row r="73" spans="1:3" x14ac:dyDescent="0.15">
      <c r="A73" s="7">
        <v>70</v>
      </c>
      <c r="B73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[30070]</v>
      </c>
      <c r="C73" s="3" t="s">
        <v>220</v>
      </c>
    </row>
    <row r="74" spans="1:3" x14ac:dyDescent="0.15">
      <c r="A74" s="7">
        <v>71</v>
      </c>
      <c r="B74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[11501,11502,11503,21501,21502,21503,21504]</v>
      </c>
      <c r="C74" s="3" t="s">
        <v>221</v>
      </c>
    </row>
    <row r="75" spans="1:3" x14ac:dyDescent="0.15">
      <c r="A75" s="7">
        <v>72</v>
      </c>
      <c r="B75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[11501,11502,11503,21501,21502,21503,21504]</v>
      </c>
      <c r="C75" s="3" t="s">
        <v>222</v>
      </c>
    </row>
    <row r="76" spans="1:3" x14ac:dyDescent="0.15">
      <c r="A76" s="7">
        <v>73</v>
      </c>
      <c r="B76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[11501,11502,11503,21501,21502,21503,21504]</v>
      </c>
      <c r="C76" s="3" t="s">
        <v>223</v>
      </c>
    </row>
    <row r="77" spans="1:3" x14ac:dyDescent="0.15">
      <c r="A77" s="7">
        <v>74</v>
      </c>
      <c r="B77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[11501,11502,11503,21501,21502,21503,21504]</v>
      </c>
      <c r="C77" s="3" t="s">
        <v>224</v>
      </c>
    </row>
    <row r="78" spans="1:3" x14ac:dyDescent="0.15">
      <c r="A78" s="7">
        <v>75</v>
      </c>
      <c r="B78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[30075]</v>
      </c>
      <c r="C78" s="3" t="s">
        <v>225</v>
      </c>
    </row>
    <row r="79" spans="1:3" x14ac:dyDescent="0.15">
      <c r="A79" s="7">
        <v>76</v>
      </c>
      <c r="B79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[11601,11602,11603,21601,21602,21603,21604]</v>
      </c>
      <c r="C79" s="3" t="s">
        <v>226</v>
      </c>
    </row>
    <row r="80" spans="1:3" x14ac:dyDescent="0.15">
      <c r="A80" s="7">
        <v>77</v>
      </c>
      <c r="B80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[11601,11602,11603,21601,21602,21603,21604]</v>
      </c>
      <c r="C80" s="3" t="s">
        <v>227</v>
      </c>
    </row>
    <row r="81" spans="1:3" x14ac:dyDescent="0.15">
      <c r="A81" s="7">
        <v>78</v>
      </c>
      <c r="B81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[11601,11602,11603,21601,21602,21603,21604]</v>
      </c>
      <c r="C81" s="3" t="s">
        <v>228</v>
      </c>
    </row>
    <row r="82" spans="1:3" x14ac:dyDescent="0.15">
      <c r="A82" s="7">
        <v>79</v>
      </c>
      <c r="B82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[11601,11602,11603,21601,21602,21603,21604]</v>
      </c>
      <c r="C82" s="3" t="s">
        <v>229</v>
      </c>
    </row>
    <row r="83" spans="1:3" x14ac:dyDescent="0.15">
      <c r="A83" s="7">
        <v>80</v>
      </c>
      <c r="B83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[30080]</v>
      </c>
      <c r="C83" s="3" t="s">
        <v>230</v>
      </c>
    </row>
    <row r="84" spans="1:3" x14ac:dyDescent="0.15">
      <c r="A84" s="7">
        <v>81</v>
      </c>
      <c r="B84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[11701,11702,11703,21701,21702,21703,21704]</v>
      </c>
      <c r="C84" s="3" t="s">
        <v>231</v>
      </c>
    </row>
    <row r="85" spans="1:3" x14ac:dyDescent="0.15">
      <c r="A85" s="7">
        <v>82</v>
      </c>
      <c r="B85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[11701,11702,11703,21701,21702,21703,21704]</v>
      </c>
      <c r="C85" s="3" t="s">
        <v>232</v>
      </c>
    </row>
    <row r="86" spans="1:3" x14ac:dyDescent="0.15">
      <c r="A86" s="7">
        <v>83</v>
      </c>
      <c r="B86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[11701,11702,11703,21701,21702,21703,21704]</v>
      </c>
      <c r="C86" s="3" t="s">
        <v>233</v>
      </c>
    </row>
    <row r="87" spans="1:3" x14ac:dyDescent="0.15">
      <c r="A87" s="7">
        <v>84</v>
      </c>
      <c r="B87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[11701,11702,11703,21701,21702,21703,21704]</v>
      </c>
      <c r="C87" s="3" t="s">
        <v>234</v>
      </c>
    </row>
    <row r="88" spans="1:3" x14ac:dyDescent="0.15">
      <c r="A88" s="7">
        <v>85</v>
      </c>
      <c r="B88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[30085]</v>
      </c>
      <c r="C88" s="3" t="s">
        <v>235</v>
      </c>
    </row>
    <row r="89" spans="1:3" x14ac:dyDescent="0.15">
      <c r="A89" s="7">
        <v>86</v>
      </c>
      <c r="B89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[21801,21802,21803,21804]</v>
      </c>
      <c r="C89" s="3" t="s">
        <v>236</v>
      </c>
    </row>
    <row r="90" spans="1:3" x14ac:dyDescent="0.15">
      <c r="A90" s="7">
        <v>87</v>
      </c>
      <c r="B90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[21801,21802,21803,21804]</v>
      </c>
      <c r="C90" s="3" t="s">
        <v>237</v>
      </c>
    </row>
    <row r="91" spans="1:3" x14ac:dyDescent="0.15">
      <c r="A91" s="7">
        <v>88</v>
      </c>
      <c r="B91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[21801,21802,21803,21804]</v>
      </c>
      <c r="C91" s="3" t="s">
        <v>238</v>
      </c>
    </row>
    <row r="92" spans="1:3" x14ac:dyDescent="0.15">
      <c r="A92" s="7">
        <v>89</v>
      </c>
      <c r="B92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[21801,21802,21803,21804]</v>
      </c>
      <c r="C92" s="3" t="s">
        <v>239</v>
      </c>
    </row>
    <row r="93" spans="1:3" x14ac:dyDescent="0.15">
      <c r="A93" s="7">
        <v>90</v>
      </c>
      <c r="B93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[30090]</v>
      </c>
      <c r="C93" s="3" t="s">
        <v>240</v>
      </c>
    </row>
    <row r="94" spans="1:3" x14ac:dyDescent="0.15">
      <c r="A94" s="7">
        <v>91</v>
      </c>
      <c r="B94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[21901]</v>
      </c>
      <c r="C94" s="3" t="s">
        <v>240</v>
      </c>
    </row>
    <row r="95" spans="1:3" x14ac:dyDescent="0.15">
      <c r="A95" s="7">
        <v>92</v>
      </c>
      <c r="B95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[21902]</v>
      </c>
      <c r="C95" s="3" t="s">
        <v>240</v>
      </c>
    </row>
    <row r="96" spans="1:3" x14ac:dyDescent="0.15">
      <c r="A96" s="7">
        <v>93</v>
      </c>
      <c r="B96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[21903]</v>
      </c>
      <c r="C96" s="3" t="s">
        <v>240</v>
      </c>
    </row>
    <row r="97" spans="1:3" x14ac:dyDescent="0.15">
      <c r="A97" s="7">
        <v>94</v>
      </c>
      <c r="B97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[21904]</v>
      </c>
      <c r="C97" s="3" t="s">
        <v>240</v>
      </c>
    </row>
    <row r="98" spans="1:3" x14ac:dyDescent="0.15">
      <c r="A98" s="7">
        <v>95</v>
      </c>
      <c r="B98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[21905]</v>
      </c>
      <c r="C98" s="3" t="s">
        <v>240</v>
      </c>
    </row>
    <row r="99" spans="1:3" x14ac:dyDescent="0.15">
      <c r="A99" s="7">
        <v>96</v>
      </c>
      <c r="B99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[22001]</v>
      </c>
      <c r="C99" s="3" t="s">
        <v>240</v>
      </c>
    </row>
    <row r="100" spans="1:3" x14ac:dyDescent="0.15">
      <c r="A100" s="7">
        <v>97</v>
      </c>
      <c r="B100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[22002]</v>
      </c>
      <c r="C100" s="3" t="s">
        <v>240</v>
      </c>
    </row>
    <row r="101" spans="1:3" x14ac:dyDescent="0.15">
      <c r="A101" s="7">
        <v>98</v>
      </c>
      <c r="B101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[22003]</v>
      </c>
      <c r="C101" s="3" t="s">
        <v>240</v>
      </c>
    </row>
    <row r="102" spans="1:3" x14ac:dyDescent="0.15">
      <c r="A102" s="7">
        <v>99</v>
      </c>
      <c r="B102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[22004]</v>
      </c>
      <c r="C102" s="3" t="s">
        <v>240</v>
      </c>
    </row>
    <row r="103" spans="1:3" x14ac:dyDescent="0.15">
      <c r="A103" s="7">
        <v>100</v>
      </c>
      <c r="B103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[22005]</v>
      </c>
      <c r="C103" s="3" t="s">
        <v>240</v>
      </c>
    </row>
    <row r="104" spans="1:3" x14ac:dyDescent="0.15">
      <c r="A104" s="7">
        <v>101</v>
      </c>
      <c r="B104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[22101]</v>
      </c>
      <c r="C104" s="3" t="s">
        <v>240</v>
      </c>
    </row>
    <row r="105" spans="1:3" x14ac:dyDescent="0.15">
      <c r="A105" s="7">
        <v>102</v>
      </c>
      <c r="B105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[22102]</v>
      </c>
      <c r="C105" s="3" t="s">
        <v>240</v>
      </c>
    </row>
    <row r="106" spans="1:3" x14ac:dyDescent="0.15">
      <c r="A106" s="7">
        <v>103</v>
      </c>
      <c r="B106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[22103]</v>
      </c>
      <c r="C106" s="3" t="s">
        <v>240</v>
      </c>
    </row>
    <row r="107" spans="1:3" x14ac:dyDescent="0.15">
      <c r="A107" s="7">
        <v>104</v>
      </c>
      <c r="B107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[22104]</v>
      </c>
      <c r="C107" s="3" t="s">
        <v>240</v>
      </c>
    </row>
    <row r="108" spans="1:3" x14ac:dyDescent="0.15">
      <c r="A108" s="7">
        <v>105</v>
      </c>
      <c r="B108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[22105]</v>
      </c>
      <c r="C108" s="3" t="s">
        <v>240</v>
      </c>
    </row>
    <row r="109" spans="1:3" x14ac:dyDescent="0.15">
      <c r="A109" s="7">
        <v>106</v>
      </c>
      <c r="B109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[22201]</v>
      </c>
      <c r="C109" s="3" t="s">
        <v>240</v>
      </c>
    </row>
    <row r="110" spans="1:3" x14ac:dyDescent="0.15">
      <c r="A110" s="7">
        <v>107</v>
      </c>
      <c r="B110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[22202]</v>
      </c>
      <c r="C110" s="3" t="s">
        <v>240</v>
      </c>
    </row>
    <row r="111" spans="1:3" x14ac:dyDescent="0.15">
      <c r="A111" s="7">
        <v>108</v>
      </c>
      <c r="B111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[22203]</v>
      </c>
      <c r="C111" s="3" t="s">
        <v>240</v>
      </c>
    </row>
    <row r="112" spans="1:3" x14ac:dyDescent="0.15">
      <c r="A112" s="7">
        <v>109</v>
      </c>
      <c r="B112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[22204]</v>
      </c>
      <c r="C112" s="3" t="s">
        <v>240</v>
      </c>
    </row>
    <row r="113" spans="1:3" x14ac:dyDescent="0.15">
      <c r="A113" s="7">
        <v>110</v>
      </c>
      <c r="B113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[22205]</v>
      </c>
      <c r="C113" s="3" t="s">
        <v>240</v>
      </c>
    </row>
    <row r="114" spans="1:3" x14ac:dyDescent="0.15">
      <c r="A114" s="7">
        <v>111</v>
      </c>
      <c r="B114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[22301]</v>
      </c>
      <c r="C114" s="3" t="s">
        <v>240</v>
      </c>
    </row>
    <row r="115" spans="1:3" x14ac:dyDescent="0.15">
      <c r="A115" s="7">
        <v>112</v>
      </c>
      <c r="B115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[22302]</v>
      </c>
      <c r="C115" s="3" t="s">
        <v>240</v>
      </c>
    </row>
    <row r="116" spans="1:3" x14ac:dyDescent="0.15">
      <c r="A116" s="7">
        <v>113</v>
      </c>
      <c r="B116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[22303]</v>
      </c>
      <c r="C116" s="3" t="s">
        <v>240</v>
      </c>
    </row>
    <row r="117" spans="1:3" x14ac:dyDescent="0.15">
      <c r="A117" s="7">
        <v>114</v>
      </c>
      <c r="B117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[22304]</v>
      </c>
      <c r="C117" s="3" t="s">
        <v>240</v>
      </c>
    </row>
    <row r="118" spans="1:3" x14ac:dyDescent="0.15">
      <c r="A118" s="7">
        <v>115</v>
      </c>
      <c r="B118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[22305]</v>
      </c>
      <c r="C118" s="3" t="s">
        <v>240</v>
      </c>
    </row>
    <row r="119" spans="1:3" x14ac:dyDescent="0.15">
      <c r="A119" s="7">
        <v>116</v>
      </c>
      <c r="B119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[22401]</v>
      </c>
      <c r="C119" s="3" t="s">
        <v>240</v>
      </c>
    </row>
    <row r="120" spans="1:3" x14ac:dyDescent="0.15">
      <c r="A120" s="7">
        <v>117</v>
      </c>
      <c r="B120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[22402]</v>
      </c>
      <c r="C120" s="3" t="s">
        <v>240</v>
      </c>
    </row>
    <row r="121" spans="1:3" x14ac:dyDescent="0.15">
      <c r="A121" s="7">
        <v>118</v>
      </c>
      <c r="B121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[22403]</v>
      </c>
      <c r="C121" s="3" t="s">
        <v>240</v>
      </c>
    </row>
    <row r="122" spans="1:3" x14ac:dyDescent="0.15">
      <c r="A122" s="7">
        <v>119</v>
      </c>
      <c r="B122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[22404]</v>
      </c>
      <c r="C122" s="3" t="s">
        <v>240</v>
      </c>
    </row>
    <row r="123" spans="1:3" x14ac:dyDescent="0.15">
      <c r="A123" s="7">
        <v>120</v>
      </c>
      <c r="B123" s="19" t="str">
        <f>IF(AND(MOD(表3_324[[#This Row],[波数]],5)=0,表3_324[[#This Row],[波数]]&lt;95),"["&amp;30000+表3_324[[#This Row],[波数]]&amp;"]",IF(表3_324[[#This Row],[波数]]&lt;91,VLOOKUP(INT((表3_324[[#This Row],[波数]]-1)/5)+1,$M$4:$N$27,2,FALSE),VLOOKUP(表3_324[[#This Row],[波数]],$M$4:$N$127,2,FALSE)))</f>
        <v>[22405]</v>
      </c>
      <c r="C123" s="3" t="s">
        <v>240</v>
      </c>
    </row>
  </sheetData>
  <phoneticPr fontId="5" type="noConversion"/>
  <pageMargins left="0.69930555555555596" right="0.69930555555555596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F200"/>
  <sheetViews>
    <sheetView topLeftCell="A62" workbookViewId="0">
      <selection activeCell="B92" sqref="B92"/>
    </sheetView>
  </sheetViews>
  <sheetFormatPr defaultColWidth="9" defaultRowHeight="13.5" x14ac:dyDescent="0.15"/>
  <cols>
    <col min="1" max="1" width="9" customWidth="1"/>
    <col min="2" max="2" width="80.5" customWidth="1"/>
    <col min="3" max="3" width="15" customWidth="1"/>
    <col min="4" max="4" width="13.75" customWidth="1"/>
  </cols>
  <sheetData>
    <row r="1" spans="1:6" ht="16.5" x14ac:dyDescent="0.3">
      <c r="A1" s="1" t="s">
        <v>29</v>
      </c>
      <c r="B1" s="1" t="s">
        <v>79</v>
      </c>
      <c r="C1" s="5" t="s">
        <v>81</v>
      </c>
      <c r="D1" s="1" t="s">
        <v>82</v>
      </c>
    </row>
    <row r="2" spans="1:6" ht="16.5" x14ac:dyDescent="0.15">
      <c r="A2" s="2" t="s">
        <v>39</v>
      </c>
      <c r="B2" s="2" t="s">
        <v>41</v>
      </c>
      <c r="C2" s="6" t="s">
        <v>40</v>
      </c>
      <c r="D2" s="2" t="s">
        <v>41</v>
      </c>
    </row>
    <row r="3" spans="1:6" x14ac:dyDescent="0.15">
      <c r="A3" s="3" t="s">
        <v>99</v>
      </c>
      <c r="B3" s="3" t="s">
        <v>84</v>
      </c>
      <c r="C3" s="4" t="s">
        <v>85</v>
      </c>
      <c r="D3" s="3" t="s">
        <v>86</v>
      </c>
      <c r="E3" s="19" t="s">
        <v>103</v>
      </c>
      <c r="F3" s="19" t="s">
        <v>104</v>
      </c>
    </row>
    <row r="4" spans="1:6" x14ac:dyDescent="0.15">
      <c r="A4" s="7">
        <f>IF(表3_3246[[#This Row],[级别]]&gt;30000,表3_3246[[#This Row],[级别]],IF(表3_3246[[#This Row],[级别]]=E3,A3+1,10001+表3_3246[[#This Row],[级别]]*100))</f>
        <v>10101</v>
      </c>
      <c r="B4" s="3" t="s">
        <v>315</v>
      </c>
      <c r="C4" s="3" t="s">
        <v>142</v>
      </c>
      <c r="D4" s="3" t="s">
        <v>78</v>
      </c>
      <c r="E4" s="3">
        <v>1</v>
      </c>
      <c r="F4" s="3" t="s">
        <v>105</v>
      </c>
    </row>
    <row r="5" spans="1:6" x14ac:dyDescent="0.15">
      <c r="A5" s="7">
        <f>IF(表3_3246[[#This Row],[级别]]&gt;30000,表3_3246[[#This Row],[级别]],IF(表3_3246[[#This Row],[级别]]=E4,A4+1,10001+表3_3246[[#This Row],[级别]]*100))</f>
        <v>10102</v>
      </c>
      <c r="B5" s="3" t="s">
        <v>316</v>
      </c>
      <c r="C5" s="3" t="s">
        <v>143</v>
      </c>
      <c r="D5" s="3" t="s">
        <v>78</v>
      </c>
      <c r="E5" s="3">
        <v>1</v>
      </c>
      <c r="F5" s="3" t="s">
        <v>105</v>
      </c>
    </row>
    <row r="6" spans="1:6" x14ac:dyDescent="0.15">
      <c r="A6" s="7">
        <f>IF(表3_3246[[#This Row],[级别]]&gt;30000,表3_3246[[#This Row],[级别]],IF(表3_3246[[#This Row],[级别]]=E5,A5+1,10001+表3_3246[[#This Row],[级别]]*100))</f>
        <v>10103</v>
      </c>
      <c r="B6" s="3" t="s">
        <v>317</v>
      </c>
      <c r="C6" s="3" t="s">
        <v>142</v>
      </c>
      <c r="D6" s="3" t="s">
        <v>78</v>
      </c>
      <c r="E6" s="3">
        <v>1</v>
      </c>
      <c r="F6" s="3" t="s">
        <v>105</v>
      </c>
    </row>
    <row r="7" spans="1:6" x14ac:dyDescent="0.15">
      <c r="A7" s="7">
        <f>IF(表3_3246[[#This Row],[级别]]&gt;30000,表3_3246[[#This Row],[级别]],IF(表3_3246[[#This Row],[级别]]=E6,A6+1,10001+表3_3246[[#This Row],[级别]]*100))</f>
        <v>10104</v>
      </c>
      <c r="B7" s="3" t="s">
        <v>318</v>
      </c>
      <c r="C7" s="3" t="s">
        <v>143</v>
      </c>
      <c r="D7" s="3" t="s">
        <v>78</v>
      </c>
      <c r="E7" s="3">
        <v>1</v>
      </c>
      <c r="F7" s="3" t="s">
        <v>105</v>
      </c>
    </row>
    <row r="8" spans="1:6" x14ac:dyDescent="0.15">
      <c r="A8" s="7">
        <f>IF(表3_3246[[#This Row],[级别]]&gt;30000,表3_3246[[#This Row],[级别]],IF(表3_3246[[#This Row],[级别]]=E7,A7+1,10001+表3_3246[[#This Row],[级别]]*100))</f>
        <v>10105</v>
      </c>
      <c r="B8" s="3" t="s">
        <v>319</v>
      </c>
      <c r="C8" s="3" t="s">
        <v>142</v>
      </c>
      <c r="D8" s="3" t="s">
        <v>78</v>
      </c>
      <c r="E8" s="3">
        <v>1</v>
      </c>
      <c r="F8" s="3" t="s">
        <v>105</v>
      </c>
    </row>
    <row r="9" spans="1:6" x14ac:dyDescent="0.15">
      <c r="A9" s="7">
        <f>IF(表3_3246[[#This Row],[级别]]&gt;30000,表3_3246[[#This Row],[级别]],IF(表3_3246[[#This Row],[级别]]=E8,A8+1,10001+表3_3246[[#This Row],[级别]]*100))</f>
        <v>10201</v>
      </c>
      <c r="B9" s="3" t="s">
        <v>320</v>
      </c>
      <c r="C9" s="3" t="s">
        <v>143</v>
      </c>
      <c r="D9" s="3" t="s">
        <v>78</v>
      </c>
      <c r="E9" s="3">
        <v>2</v>
      </c>
      <c r="F9" s="3" t="s">
        <v>105</v>
      </c>
    </row>
    <row r="10" spans="1:6" x14ac:dyDescent="0.15">
      <c r="A10" s="7">
        <f>IF(表3_3246[[#This Row],[级别]]&gt;30000,表3_3246[[#This Row],[级别]],IF(表3_3246[[#This Row],[级别]]=E9,A9+1,10001+表3_3246[[#This Row],[级别]]*100))</f>
        <v>10202</v>
      </c>
      <c r="B10" s="3" t="s">
        <v>321</v>
      </c>
      <c r="C10" s="3" t="s">
        <v>142</v>
      </c>
      <c r="D10" s="3" t="s">
        <v>78</v>
      </c>
      <c r="E10" s="3">
        <v>2</v>
      </c>
      <c r="F10" s="3" t="s">
        <v>105</v>
      </c>
    </row>
    <row r="11" spans="1:6" x14ac:dyDescent="0.15">
      <c r="A11" s="7">
        <f>IF(表3_3246[[#This Row],[级别]]&gt;30000,表3_3246[[#This Row],[级别]],IF(表3_3246[[#This Row],[级别]]=E10,A10+1,10001+表3_3246[[#This Row],[级别]]*100))</f>
        <v>10203</v>
      </c>
      <c r="B11" s="3" t="s">
        <v>322</v>
      </c>
      <c r="C11" s="3" t="s">
        <v>143</v>
      </c>
      <c r="D11" s="3" t="s">
        <v>78</v>
      </c>
      <c r="E11" s="3">
        <v>2</v>
      </c>
      <c r="F11" s="3" t="s">
        <v>105</v>
      </c>
    </row>
    <row r="12" spans="1:6" x14ac:dyDescent="0.15">
      <c r="A12" s="7">
        <f>IF(表3_3246[[#This Row],[级别]]&gt;30000,表3_3246[[#This Row],[级别]],IF(表3_3246[[#This Row],[级别]]=E11,A11+1,10001+表3_3246[[#This Row],[级别]]*100))</f>
        <v>10204</v>
      </c>
      <c r="B12" s="3" t="s">
        <v>323</v>
      </c>
      <c r="C12" s="3" t="s">
        <v>142</v>
      </c>
      <c r="D12" s="3" t="s">
        <v>78</v>
      </c>
      <c r="E12" s="3">
        <v>2</v>
      </c>
      <c r="F12" s="3" t="s">
        <v>105</v>
      </c>
    </row>
    <row r="13" spans="1:6" x14ac:dyDescent="0.15">
      <c r="A13" s="7">
        <f>IF(表3_3246[[#This Row],[级别]]&gt;30000,表3_3246[[#This Row],[级别]],IF(表3_3246[[#This Row],[级别]]=E12,A12+1,10001+表3_3246[[#This Row],[级别]]*100))</f>
        <v>10205</v>
      </c>
      <c r="B13" s="3" t="s">
        <v>324</v>
      </c>
      <c r="C13" s="3" t="s">
        <v>143</v>
      </c>
      <c r="D13" s="3" t="s">
        <v>78</v>
      </c>
      <c r="E13" s="3">
        <v>2</v>
      </c>
      <c r="F13" s="3" t="s">
        <v>105</v>
      </c>
    </row>
    <row r="14" spans="1:6" x14ac:dyDescent="0.15">
      <c r="A14" s="7">
        <f>IF(表3_3246[[#This Row],[级别]]&gt;30000,表3_3246[[#This Row],[级别]],IF(表3_3246[[#This Row],[级别]]=E13,A13+1,10001+表3_3246[[#This Row],[级别]]*100))</f>
        <v>10301</v>
      </c>
      <c r="B14" s="3" t="s">
        <v>325</v>
      </c>
      <c r="C14" s="3" t="s">
        <v>142</v>
      </c>
      <c r="D14" s="3" t="s">
        <v>78</v>
      </c>
      <c r="E14" s="3">
        <v>3</v>
      </c>
      <c r="F14" s="3" t="s">
        <v>105</v>
      </c>
    </row>
    <row r="15" spans="1:6" x14ac:dyDescent="0.15">
      <c r="A15" s="7">
        <f>IF(表3_3246[[#This Row],[级别]]&gt;30000,表3_3246[[#This Row],[级别]],IF(表3_3246[[#This Row],[级别]]=E14,A14+1,10001+表3_3246[[#This Row],[级别]]*100))</f>
        <v>10302</v>
      </c>
      <c r="B15" s="3" t="s">
        <v>326</v>
      </c>
      <c r="C15" s="3" t="s">
        <v>143</v>
      </c>
      <c r="D15" s="3" t="s">
        <v>78</v>
      </c>
      <c r="E15" s="3">
        <v>3</v>
      </c>
      <c r="F15" s="3" t="s">
        <v>105</v>
      </c>
    </row>
    <row r="16" spans="1:6" x14ac:dyDescent="0.15">
      <c r="A16" s="7">
        <f>IF(表3_3246[[#This Row],[级别]]&gt;30000,表3_3246[[#This Row],[级别]],IF(表3_3246[[#This Row],[级别]]=E15,A15+1,10001+表3_3246[[#This Row],[级别]]*100))</f>
        <v>10303</v>
      </c>
      <c r="B16" s="3" t="s">
        <v>327</v>
      </c>
      <c r="C16" s="3" t="s">
        <v>142</v>
      </c>
      <c r="D16" s="3" t="s">
        <v>78</v>
      </c>
      <c r="E16" s="3">
        <v>3</v>
      </c>
      <c r="F16" s="3" t="s">
        <v>105</v>
      </c>
    </row>
    <row r="17" spans="1:6" x14ac:dyDescent="0.15">
      <c r="A17" s="7">
        <f>IF(表3_3246[[#This Row],[级别]]&gt;30000,表3_3246[[#This Row],[级别]],IF(表3_3246[[#This Row],[级别]]=E16,A16+1,10001+表3_3246[[#This Row],[级别]]*100))</f>
        <v>10304</v>
      </c>
      <c r="B17" s="3" t="s">
        <v>328</v>
      </c>
      <c r="C17" s="3" t="s">
        <v>143</v>
      </c>
      <c r="D17" s="3" t="s">
        <v>78</v>
      </c>
      <c r="E17" s="3">
        <v>3</v>
      </c>
      <c r="F17" s="3" t="s">
        <v>105</v>
      </c>
    </row>
    <row r="18" spans="1:6" x14ac:dyDescent="0.15">
      <c r="A18" s="7">
        <f>IF(表3_3246[[#This Row],[级别]]&gt;30000,表3_3246[[#This Row],[级别]],IF(表3_3246[[#This Row],[级别]]=E17,A17+1,10001+表3_3246[[#This Row],[级别]]*100))</f>
        <v>10305</v>
      </c>
      <c r="B18" s="3" t="s">
        <v>329</v>
      </c>
      <c r="C18" s="3" t="s">
        <v>142</v>
      </c>
      <c r="D18" s="3" t="s">
        <v>78</v>
      </c>
      <c r="E18" s="3">
        <v>3</v>
      </c>
      <c r="F18" s="3" t="s">
        <v>105</v>
      </c>
    </row>
    <row r="19" spans="1:6" x14ac:dyDescent="0.15">
      <c r="A19" s="7">
        <f>IF(表3_3246[[#This Row],[级别]]&gt;30000,表3_3246[[#This Row],[级别]],IF(表3_3246[[#This Row],[级别]]=E18,A18+1,10001+表3_3246[[#This Row],[级别]]*100))</f>
        <v>10401</v>
      </c>
      <c r="B19" s="3" t="s">
        <v>330</v>
      </c>
      <c r="C19" s="3" t="s">
        <v>143</v>
      </c>
      <c r="D19" s="3" t="s">
        <v>78</v>
      </c>
      <c r="E19" s="3">
        <v>4</v>
      </c>
      <c r="F19" s="3" t="s">
        <v>105</v>
      </c>
    </row>
    <row r="20" spans="1:6" x14ac:dyDescent="0.15">
      <c r="A20" s="7">
        <f>IF(表3_3246[[#This Row],[级别]]&gt;30000,表3_3246[[#This Row],[级别]],IF(表3_3246[[#This Row],[级别]]=E19,A19+1,10001+表3_3246[[#This Row],[级别]]*100))</f>
        <v>10402</v>
      </c>
      <c r="B20" s="3" t="s">
        <v>331</v>
      </c>
      <c r="C20" s="3" t="s">
        <v>142</v>
      </c>
      <c r="D20" s="3" t="s">
        <v>78</v>
      </c>
      <c r="E20" s="3">
        <v>4</v>
      </c>
      <c r="F20" s="3" t="s">
        <v>105</v>
      </c>
    </row>
    <row r="21" spans="1:6" x14ac:dyDescent="0.15">
      <c r="A21" s="7">
        <f>IF(表3_3246[[#This Row],[级别]]&gt;30000,表3_3246[[#This Row],[级别]],IF(表3_3246[[#This Row],[级别]]=E20,A20+1,10001+表3_3246[[#This Row],[级别]]*100))</f>
        <v>10403</v>
      </c>
      <c r="B21" s="3" t="s">
        <v>332</v>
      </c>
      <c r="C21" s="3" t="s">
        <v>143</v>
      </c>
      <c r="D21" s="3" t="s">
        <v>78</v>
      </c>
      <c r="E21" s="3">
        <v>4</v>
      </c>
      <c r="F21" s="3" t="s">
        <v>105</v>
      </c>
    </row>
    <row r="22" spans="1:6" x14ac:dyDescent="0.15">
      <c r="A22" s="7">
        <f>IF(表3_3246[[#This Row],[级别]]&gt;30000,表3_3246[[#This Row],[级别]],IF(表3_3246[[#This Row],[级别]]=E21,A21+1,10001+表3_3246[[#This Row],[级别]]*100))</f>
        <v>10404</v>
      </c>
      <c r="B22" s="3" t="s">
        <v>333</v>
      </c>
      <c r="C22" s="3" t="s">
        <v>142</v>
      </c>
      <c r="D22" s="3" t="s">
        <v>78</v>
      </c>
      <c r="E22" s="3">
        <v>4</v>
      </c>
      <c r="F22" s="3" t="s">
        <v>105</v>
      </c>
    </row>
    <row r="23" spans="1:6" x14ac:dyDescent="0.15">
      <c r="A23" s="7">
        <f>IF(表3_3246[[#This Row],[级别]]&gt;30000,表3_3246[[#This Row],[级别]],IF(表3_3246[[#This Row],[级别]]=E22,A22+1,10001+表3_3246[[#This Row],[级别]]*100))</f>
        <v>10405</v>
      </c>
      <c r="B23" s="3" t="s">
        <v>334</v>
      </c>
      <c r="C23" s="3" t="s">
        <v>143</v>
      </c>
      <c r="D23" s="3" t="s">
        <v>78</v>
      </c>
      <c r="E23" s="3">
        <v>4</v>
      </c>
      <c r="F23" s="3" t="s">
        <v>105</v>
      </c>
    </row>
    <row r="24" spans="1:6" x14ac:dyDescent="0.15">
      <c r="A24" s="7">
        <f>IF(表3_3246[[#This Row],[级别]]&gt;30000,表3_3246[[#This Row],[级别]],IF(表3_3246[[#This Row],[级别]]=E23,A23+1,10001+表3_3246[[#This Row],[级别]]*100))</f>
        <v>10501</v>
      </c>
      <c r="B24" s="3" t="s">
        <v>335</v>
      </c>
      <c r="C24" s="3" t="s">
        <v>142</v>
      </c>
      <c r="D24" s="3" t="s">
        <v>78</v>
      </c>
      <c r="E24" s="3">
        <v>5</v>
      </c>
      <c r="F24" s="3" t="s">
        <v>105</v>
      </c>
    </row>
    <row r="25" spans="1:6" x14ac:dyDescent="0.15">
      <c r="A25" s="7">
        <f>IF(表3_3246[[#This Row],[级别]]&gt;30000,表3_3246[[#This Row],[级别]],IF(表3_3246[[#This Row],[级别]]=E24,A24+1,10001+表3_3246[[#This Row],[级别]]*100))</f>
        <v>10502</v>
      </c>
      <c r="B25" s="3" t="s">
        <v>336</v>
      </c>
      <c r="C25" s="3" t="s">
        <v>143</v>
      </c>
      <c r="D25" s="3" t="s">
        <v>78</v>
      </c>
      <c r="E25" s="3">
        <v>5</v>
      </c>
      <c r="F25" s="3" t="s">
        <v>105</v>
      </c>
    </row>
    <row r="26" spans="1:6" x14ac:dyDescent="0.15">
      <c r="A26" s="7">
        <f>IF(表3_3246[[#This Row],[级别]]&gt;30000,表3_3246[[#This Row],[级别]],IF(表3_3246[[#This Row],[级别]]=E25,A25+1,10001+表3_3246[[#This Row],[级别]]*100))</f>
        <v>10503</v>
      </c>
      <c r="B26" s="3" t="s">
        <v>337</v>
      </c>
      <c r="C26" s="3" t="s">
        <v>142</v>
      </c>
      <c r="D26" s="3" t="s">
        <v>78</v>
      </c>
      <c r="E26" s="3">
        <v>5</v>
      </c>
      <c r="F26" s="3" t="s">
        <v>105</v>
      </c>
    </row>
    <row r="27" spans="1:6" x14ac:dyDescent="0.15">
      <c r="A27" s="7">
        <f>IF(表3_3246[[#This Row],[级别]]&gt;30000,表3_3246[[#This Row],[级别]],IF(表3_3246[[#This Row],[级别]]=E26,A26+1,10001+表3_3246[[#This Row],[级别]]*100))</f>
        <v>10504</v>
      </c>
      <c r="B27" s="3" t="s">
        <v>338</v>
      </c>
      <c r="C27" s="3" t="s">
        <v>143</v>
      </c>
      <c r="D27" s="3" t="s">
        <v>78</v>
      </c>
      <c r="E27" s="3">
        <v>5</v>
      </c>
      <c r="F27" s="3" t="s">
        <v>105</v>
      </c>
    </row>
    <row r="28" spans="1:6" x14ac:dyDescent="0.15">
      <c r="A28" s="7">
        <f>IF(表3_3246[[#This Row],[级别]]&gt;30000,表3_3246[[#This Row],[级别]],IF(表3_3246[[#This Row],[级别]]=E27,A27+1,10001+表3_3246[[#This Row],[级别]]*100))</f>
        <v>10505</v>
      </c>
      <c r="B28" s="3" t="s">
        <v>339</v>
      </c>
      <c r="C28" s="3" t="s">
        <v>142</v>
      </c>
      <c r="D28" s="3" t="s">
        <v>78</v>
      </c>
      <c r="E28" s="3">
        <v>5</v>
      </c>
      <c r="F28" s="3" t="s">
        <v>105</v>
      </c>
    </row>
    <row r="29" spans="1:6" x14ac:dyDescent="0.15">
      <c r="A29" s="7">
        <f>IF(表3_3246[[#This Row],[级别]]&gt;30000,表3_3246[[#This Row],[级别]],IF(表3_3246[[#This Row],[级别]]=E28,A28+1,10001+表3_3246[[#This Row],[级别]]*100))</f>
        <v>10601</v>
      </c>
      <c r="B29" s="3" t="s">
        <v>340</v>
      </c>
      <c r="C29" s="3" t="s">
        <v>143</v>
      </c>
      <c r="D29" s="3" t="s">
        <v>78</v>
      </c>
      <c r="E29" s="3">
        <v>6</v>
      </c>
      <c r="F29" s="3" t="s">
        <v>105</v>
      </c>
    </row>
    <row r="30" spans="1:6" x14ac:dyDescent="0.15">
      <c r="A30" s="7">
        <f>IF(表3_3246[[#This Row],[级别]]&gt;30000,表3_3246[[#This Row],[级别]],IF(表3_3246[[#This Row],[级别]]=E29,A29+1,10001+表3_3246[[#This Row],[级别]]*100))</f>
        <v>10602</v>
      </c>
      <c r="B30" s="3" t="s">
        <v>341</v>
      </c>
      <c r="C30" s="3" t="s">
        <v>142</v>
      </c>
      <c r="D30" s="3" t="s">
        <v>78</v>
      </c>
      <c r="E30" s="3">
        <v>6</v>
      </c>
      <c r="F30" s="3" t="s">
        <v>105</v>
      </c>
    </row>
    <row r="31" spans="1:6" x14ac:dyDescent="0.15">
      <c r="A31" s="7">
        <f>IF(表3_3246[[#This Row],[级别]]&gt;30000,表3_3246[[#This Row],[级别]],IF(表3_3246[[#This Row],[级别]]=E30,A30+1,10001+表3_3246[[#This Row],[级别]]*100))</f>
        <v>10603</v>
      </c>
      <c r="B31" s="3" t="s">
        <v>342</v>
      </c>
      <c r="C31" s="3" t="s">
        <v>143</v>
      </c>
      <c r="D31" s="3" t="s">
        <v>78</v>
      </c>
      <c r="E31" s="3">
        <v>6</v>
      </c>
      <c r="F31" s="3" t="s">
        <v>105</v>
      </c>
    </row>
    <row r="32" spans="1:6" x14ac:dyDescent="0.15">
      <c r="A32" s="7">
        <f>IF(表3_3246[[#This Row],[级别]]&gt;30000,表3_3246[[#This Row],[级别]],IF(表3_3246[[#This Row],[级别]]=E31,A31+1,10001+表3_3246[[#This Row],[级别]]*100))</f>
        <v>10604</v>
      </c>
      <c r="B32" s="3" t="s">
        <v>343</v>
      </c>
      <c r="C32" s="3" t="s">
        <v>142</v>
      </c>
      <c r="D32" s="3" t="s">
        <v>78</v>
      </c>
      <c r="E32" s="3">
        <v>6</v>
      </c>
      <c r="F32" s="3" t="s">
        <v>105</v>
      </c>
    </row>
    <row r="33" spans="1:6" x14ac:dyDescent="0.15">
      <c r="A33" s="3">
        <f>IF(表3_3246[[#This Row],[级别]]&gt;30000,表3_3246[[#This Row],[级别]],IF(表3_3246[[#This Row],[级别]]=E32,A32+1,10001+表3_3246[[#This Row],[级别]]*100))</f>
        <v>10605</v>
      </c>
      <c r="B33" s="3" t="s">
        <v>344</v>
      </c>
      <c r="C33" s="3" t="s">
        <v>143</v>
      </c>
      <c r="D33" s="3" t="s">
        <v>78</v>
      </c>
      <c r="E33" s="3">
        <v>6</v>
      </c>
      <c r="F33" s="3" t="s">
        <v>105</v>
      </c>
    </row>
    <row r="34" spans="1:6" x14ac:dyDescent="0.15">
      <c r="A34" s="3">
        <f>IF(表3_3246[[#This Row],[级别]]&gt;30000,表3_3246[[#This Row],[级别]],IF(表3_3246[[#This Row],[级别]]=E33,A33+1,10001+表3_3246[[#This Row],[级别]]*100))</f>
        <v>10701</v>
      </c>
      <c r="B34" s="3" t="s">
        <v>345</v>
      </c>
      <c r="C34" s="3" t="s">
        <v>142</v>
      </c>
      <c r="D34" s="3" t="s">
        <v>78</v>
      </c>
      <c r="E34" s="3">
        <v>7</v>
      </c>
      <c r="F34" s="3" t="s">
        <v>105</v>
      </c>
    </row>
    <row r="35" spans="1:6" x14ac:dyDescent="0.15">
      <c r="A35" s="3">
        <f>IF(表3_3246[[#This Row],[级别]]&gt;30000,表3_3246[[#This Row],[级别]],IF(表3_3246[[#This Row],[级别]]=E34,A34+1,10001+表3_3246[[#This Row],[级别]]*100))</f>
        <v>10702</v>
      </c>
      <c r="B35" s="3" t="s">
        <v>346</v>
      </c>
      <c r="C35" s="3" t="s">
        <v>143</v>
      </c>
      <c r="D35" s="3" t="s">
        <v>78</v>
      </c>
      <c r="E35" s="3">
        <v>7</v>
      </c>
      <c r="F35" s="3" t="s">
        <v>105</v>
      </c>
    </row>
    <row r="36" spans="1:6" x14ac:dyDescent="0.15">
      <c r="A36" s="3">
        <f>IF(表3_3246[[#This Row],[级别]]&gt;30000,表3_3246[[#This Row],[级别]],IF(表3_3246[[#This Row],[级别]]=E35,A35+1,10001+表3_3246[[#This Row],[级别]]*100))</f>
        <v>10703</v>
      </c>
      <c r="B36" s="3" t="s">
        <v>347</v>
      </c>
      <c r="C36" s="3" t="s">
        <v>142</v>
      </c>
      <c r="D36" s="3" t="s">
        <v>78</v>
      </c>
      <c r="E36" s="3">
        <v>7</v>
      </c>
      <c r="F36" s="3" t="s">
        <v>105</v>
      </c>
    </row>
    <row r="37" spans="1:6" x14ac:dyDescent="0.15">
      <c r="A37" s="3">
        <f>IF(表3_3246[[#This Row],[级别]]&gt;30000,表3_3246[[#This Row],[级别]],IF(表3_3246[[#This Row],[级别]]=E36,A36+1,10001+表3_3246[[#This Row],[级别]]*100))</f>
        <v>10704</v>
      </c>
      <c r="B37" s="3" t="s">
        <v>348</v>
      </c>
      <c r="C37" s="3" t="s">
        <v>143</v>
      </c>
      <c r="D37" s="3" t="s">
        <v>78</v>
      </c>
      <c r="E37" s="3">
        <v>7</v>
      </c>
      <c r="F37" s="3" t="s">
        <v>105</v>
      </c>
    </row>
    <row r="38" spans="1:6" x14ac:dyDescent="0.15">
      <c r="A38" s="7">
        <f>IF(表3_3246[[#This Row],[级别]]&gt;30000,表3_3246[[#This Row],[级别]],IF(表3_3246[[#This Row],[级别]]=E37,A37+1,10001+表3_3246[[#This Row],[级别]]*100))</f>
        <v>10705</v>
      </c>
      <c r="B38" s="3" t="s">
        <v>349</v>
      </c>
      <c r="C38" s="3" t="s">
        <v>142</v>
      </c>
      <c r="D38" s="3" t="s">
        <v>78</v>
      </c>
      <c r="E38" s="3">
        <v>7</v>
      </c>
      <c r="F38" s="3" t="s">
        <v>105</v>
      </c>
    </row>
    <row r="39" spans="1:6" x14ac:dyDescent="0.15">
      <c r="A39" s="7">
        <f>IF(表3_3246[[#This Row],[级别]]&gt;30000,表3_3246[[#This Row],[级别]],IF(表3_3246[[#This Row],[级别]]=E38,A38+1,10001+表3_3246[[#This Row],[级别]]*100))</f>
        <v>10801</v>
      </c>
      <c r="B39" s="3" t="s">
        <v>350</v>
      </c>
      <c r="C39" s="3" t="s">
        <v>143</v>
      </c>
      <c r="D39" s="3" t="s">
        <v>78</v>
      </c>
      <c r="E39" s="3">
        <v>8</v>
      </c>
      <c r="F39" s="3" t="s">
        <v>105</v>
      </c>
    </row>
    <row r="40" spans="1:6" x14ac:dyDescent="0.15">
      <c r="A40" s="7">
        <f>IF(表3_3246[[#This Row],[级别]]&gt;30000,表3_3246[[#This Row],[级别]],IF(表3_3246[[#This Row],[级别]]=E39,A39+1,10001+表3_3246[[#This Row],[级别]]*100))</f>
        <v>10802</v>
      </c>
      <c r="B40" s="3" t="s">
        <v>351</v>
      </c>
      <c r="C40" s="3" t="s">
        <v>142</v>
      </c>
      <c r="D40" s="3" t="s">
        <v>78</v>
      </c>
      <c r="E40" s="3">
        <v>8</v>
      </c>
      <c r="F40" s="3" t="s">
        <v>105</v>
      </c>
    </row>
    <row r="41" spans="1:6" x14ac:dyDescent="0.15">
      <c r="A41" s="7">
        <f>IF(表3_3246[[#This Row],[级别]]&gt;30000,表3_3246[[#This Row],[级别]],IF(表3_3246[[#This Row],[级别]]=E40,A40+1,10001+表3_3246[[#This Row],[级别]]*100))</f>
        <v>10803</v>
      </c>
      <c r="B41" s="3" t="s">
        <v>352</v>
      </c>
      <c r="C41" s="3" t="s">
        <v>143</v>
      </c>
      <c r="D41" s="3" t="s">
        <v>78</v>
      </c>
      <c r="E41" s="3">
        <v>8</v>
      </c>
      <c r="F41" s="3" t="s">
        <v>105</v>
      </c>
    </row>
    <row r="42" spans="1:6" x14ac:dyDescent="0.15">
      <c r="A42" s="7">
        <f>IF(表3_3246[[#This Row],[级别]]&gt;30000,表3_3246[[#This Row],[级别]],IF(表3_3246[[#This Row],[级别]]=E41,A41+1,10001+表3_3246[[#This Row],[级别]]*100))</f>
        <v>10804</v>
      </c>
      <c r="B42" s="3" t="s">
        <v>353</v>
      </c>
      <c r="C42" s="3" t="s">
        <v>142</v>
      </c>
      <c r="D42" s="3" t="s">
        <v>78</v>
      </c>
      <c r="E42" s="3">
        <v>8</v>
      </c>
      <c r="F42" s="3" t="s">
        <v>105</v>
      </c>
    </row>
    <row r="43" spans="1:6" x14ac:dyDescent="0.15">
      <c r="A43" s="3">
        <f>IF(表3_3246[[#This Row],[级别]]&gt;30000,表3_3246[[#This Row],[级别]],IF(表3_3246[[#This Row],[级别]]=E42,A42+1,10001+表3_3246[[#This Row],[级别]]*100))</f>
        <v>10805</v>
      </c>
      <c r="B43" s="3" t="s">
        <v>354</v>
      </c>
      <c r="C43" s="3" t="s">
        <v>143</v>
      </c>
      <c r="D43" s="3" t="s">
        <v>78</v>
      </c>
      <c r="E43" s="3">
        <v>8</v>
      </c>
      <c r="F43" s="3" t="s">
        <v>105</v>
      </c>
    </row>
    <row r="44" spans="1:6" x14ac:dyDescent="0.15">
      <c r="A44" s="3">
        <f>IF(表3_3246[[#This Row],[级别]]&gt;30000,表3_3246[[#This Row],[级别]],IF(表3_3246[[#This Row],[级别]]=E43,A43+1,10001+表3_3246[[#This Row],[级别]]*100))</f>
        <v>10901</v>
      </c>
      <c r="B44" s="3" t="s">
        <v>385</v>
      </c>
      <c r="C44" s="3" t="s">
        <v>142</v>
      </c>
      <c r="D44" s="3" t="s">
        <v>78</v>
      </c>
      <c r="E44" s="3">
        <v>9</v>
      </c>
      <c r="F44" s="3" t="s">
        <v>105</v>
      </c>
    </row>
    <row r="45" spans="1:6" x14ac:dyDescent="0.15">
      <c r="A45" s="3">
        <f>IF(表3_3246[[#This Row],[级别]]&gt;30000,表3_3246[[#This Row],[级别]],IF(表3_3246[[#This Row],[级别]]=E44,A44+1,10001+表3_3246[[#This Row],[级别]]*100))</f>
        <v>10902</v>
      </c>
      <c r="B45" s="3" t="s">
        <v>386</v>
      </c>
      <c r="C45" s="3" t="s">
        <v>143</v>
      </c>
      <c r="D45" s="3" t="s">
        <v>78</v>
      </c>
      <c r="E45" s="3">
        <v>9</v>
      </c>
      <c r="F45" s="3" t="s">
        <v>105</v>
      </c>
    </row>
    <row r="46" spans="1:6" x14ac:dyDescent="0.15">
      <c r="A46" s="3">
        <f>IF(表3_3246[[#This Row],[级别]]&gt;30000,表3_3246[[#This Row],[级别]],IF(表3_3246[[#This Row],[级别]]=E45,A45+1,10001+表3_3246[[#This Row],[级别]]*100))</f>
        <v>10903</v>
      </c>
      <c r="B46" s="3" t="s">
        <v>387</v>
      </c>
      <c r="C46" s="3" t="s">
        <v>142</v>
      </c>
      <c r="D46" s="3" t="s">
        <v>78</v>
      </c>
      <c r="E46" s="3">
        <v>9</v>
      </c>
      <c r="F46" s="3" t="s">
        <v>105</v>
      </c>
    </row>
    <row r="47" spans="1:6" x14ac:dyDescent="0.15">
      <c r="A47" s="3">
        <f>IF(表3_3246[[#This Row],[级别]]&gt;30000,表3_3246[[#This Row],[级别]],IF(表3_3246[[#This Row],[级别]]=E46,A46+1,10001+表3_3246[[#This Row],[级别]]*100))</f>
        <v>10904</v>
      </c>
      <c r="B47" s="3" t="s">
        <v>388</v>
      </c>
      <c r="C47" s="3" t="s">
        <v>143</v>
      </c>
      <c r="D47" s="3" t="s">
        <v>78</v>
      </c>
      <c r="E47" s="3">
        <v>9</v>
      </c>
      <c r="F47" s="3" t="s">
        <v>105</v>
      </c>
    </row>
    <row r="48" spans="1:6" x14ac:dyDescent="0.15">
      <c r="A48" s="3">
        <f>IF(表3_3246[[#This Row],[级别]]&gt;30000,表3_3246[[#This Row],[级别]],IF(表3_3246[[#This Row],[级别]]=E47,A47+1,10001+表3_3246[[#This Row],[级别]]*100))</f>
        <v>10905</v>
      </c>
      <c r="B48" s="3" t="s">
        <v>389</v>
      </c>
      <c r="C48" s="3" t="s">
        <v>142</v>
      </c>
      <c r="D48" s="3" t="s">
        <v>78</v>
      </c>
      <c r="E48" s="3">
        <v>9</v>
      </c>
      <c r="F48" s="3" t="s">
        <v>105</v>
      </c>
    </row>
    <row r="49" spans="1:6" x14ac:dyDescent="0.15">
      <c r="A49" s="3">
        <f>IF(表3_3246[[#This Row],[级别]]&gt;30000,表3_3246[[#This Row],[级别]],IF(表3_3246[[#This Row],[级别]]=E48,A48+1,10001+表3_3246[[#This Row],[级别]]*100))</f>
        <v>11001</v>
      </c>
      <c r="B49" s="3" t="s">
        <v>355</v>
      </c>
      <c r="C49" s="3" t="s">
        <v>143</v>
      </c>
      <c r="D49" s="3" t="s">
        <v>78</v>
      </c>
      <c r="E49" s="3">
        <v>10</v>
      </c>
      <c r="F49" s="3" t="s">
        <v>105</v>
      </c>
    </row>
    <row r="50" spans="1:6" x14ac:dyDescent="0.15">
      <c r="A50" s="7">
        <f>IF(表3_3246[[#This Row],[级别]]&gt;30000,表3_3246[[#This Row],[级别]],IF(表3_3246[[#This Row],[级别]]=E49,A49+1,10001+表3_3246[[#This Row],[级别]]*100))</f>
        <v>11002</v>
      </c>
      <c r="B50" s="3" t="s">
        <v>356</v>
      </c>
      <c r="C50" s="3" t="s">
        <v>142</v>
      </c>
      <c r="D50" s="3" t="s">
        <v>78</v>
      </c>
      <c r="E50" s="3">
        <v>10</v>
      </c>
      <c r="F50" s="3" t="s">
        <v>105</v>
      </c>
    </row>
    <row r="51" spans="1:6" x14ac:dyDescent="0.15">
      <c r="A51" s="7">
        <f>IF(表3_3246[[#This Row],[级别]]&gt;30000,表3_3246[[#This Row],[级别]],IF(表3_3246[[#This Row],[级别]]=E50,A50+1,10001+表3_3246[[#This Row],[级别]]*100))</f>
        <v>11003</v>
      </c>
      <c r="B51" s="3" t="s">
        <v>357</v>
      </c>
      <c r="C51" s="3" t="s">
        <v>143</v>
      </c>
      <c r="D51" s="3" t="s">
        <v>78</v>
      </c>
      <c r="E51" s="3">
        <v>10</v>
      </c>
      <c r="F51" s="3" t="s">
        <v>105</v>
      </c>
    </row>
    <row r="52" spans="1:6" x14ac:dyDescent="0.15">
      <c r="A52" s="7">
        <f>IF(表3_3246[[#This Row],[级别]]&gt;30000,表3_3246[[#This Row],[级别]],IF(表3_3246[[#This Row],[级别]]=E51,A51+1,10001+表3_3246[[#This Row],[级别]]*100))</f>
        <v>11004</v>
      </c>
      <c r="B52" s="3" t="s">
        <v>358</v>
      </c>
      <c r="C52" s="3" t="s">
        <v>142</v>
      </c>
      <c r="D52" s="3" t="s">
        <v>78</v>
      </c>
      <c r="E52" s="3">
        <v>10</v>
      </c>
      <c r="F52" s="3" t="s">
        <v>105</v>
      </c>
    </row>
    <row r="53" spans="1:6" x14ac:dyDescent="0.15">
      <c r="A53" s="7">
        <f>IF(表3_3246[[#This Row],[级别]]&gt;30000,表3_3246[[#This Row],[级别]],IF(表3_3246[[#This Row],[级别]]=E52,A52+1,10001+表3_3246[[#This Row],[级别]]*100))</f>
        <v>11005</v>
      </c>
      <c r="B53" s="3" t="s">
        <v>359</v>
      </c>
      <c r="C53" s="3" t="s">
        <v>143</v>
      </c>
      <c r="D53" s="3" t="s">
        <v>78</v>
      </c>
      <c r="E53" s="3">
        <v>10</v>
      </c>
      <c r="F53" s="3" t="s">
        <v>105</v>
      </c>
    </row>
    <row r="54" spans="1:6" x14ac:dyDescent="0.15">
      <c r="A54" s="7">
        <f>IF(表3_3246[[#This Row],[级别]]&gt;30000,表3_3246[[#This Row],[级别]],IF(表3_3246[[#This Row],[级别]]=E53,A53+1,10001+表3_3246[[#This Row],[级别]]*100))</f>
        <v>11101</v>
      </c>
      <c r="B54" s="3" t="s">
        <v>360</v>
      </c>
      <c r="C54" s="3" t="s">
        <v>142</v>
      </c>
      <c r="D54" s="3" t="s">
        <v>78</v>
      </c>
      <c r="E54" s="3">
        <v>11</v>
      </c>
      <c r="F54" s="3" t="s">
        <v>105</v>
      </c>
    </row>
    <row r="55" spans="1:6" x14ac:dyDescent="0.15">
      <c r="A55" s="3">
        <f>IF(表3_3246[[#This Row],[级别]]&gt;30000,表3_3246[[#This Row],[级别]],IF(表3_3246[[#This Row],[级别]]=E54,A54+1,10001+表3_3246[[#This Row],[级别]]*100))</f>
        <v>11102</v>
      </c>
      <c r="B55" s="3" t="s">
        <v>361</v>
      </c>
      <c r="C55" s="3" t="s">
        <v>143</v>
      </c>
      <c r="D55" s="3" t="s">
        <v>78</v>
      </c>
      <c r="E55" s="3">
        <v>11</v>
      </c>
      <c r="F55" s="3" t="s">
        <v>105</v>
      </c>
    </row>
    <row r="56" spans="1:6" x14ac:dyDescent="0.15">
      <c r="A56" s="3">
        <f>IF(表3_3246[[#This Row],[级别]]&gt;30000,表3_3246[[#This Row],[级别]],IF(表3_3246[[#This Row],[级别]]=E55,A55+1,10001+表3_3246[[#This Row],[级别]]*100))</f>
        <v>11103</v>
      </c>
      <c r="B56" s="3" t="s">
        <v>362</v>
      </c>
      <c r="C56" s="3" t="s">
        <v>142</v>
      </c>
      <c r="D56" s="3" t="s">
        <v>78</v>
      </c>
      <c r="E56" s="3">
        <v>11</v>
      </c>
      <c r="F56" s="3" t="s">
        <v>105</v>
      </c>
    </row>
    <row r="57" spans="1:6" x14ac:dyDescent="0.15">
      <c r="A57" s="3">
        <f>IF(表3_3246[[#This Row],[级别]]&gt;30000,表3_3246[[#This Row],[级别]],IF(表3_3246[[#This Row],[级别]]=E56,A56+1,10001+表3_3246[[#This Row],[级别]]*100))</f>
        <v>11104</v>
      </c>
      <c r="B57" s="3" t="s">
        <v>363</v>
      </c>
      <c r="C57" s="3" t="s">
        <v>143</v>
      </c>
      <c r="D57" s="3" t="s">
        <v>78</v>
      </c>
      <c r="E57" s="3">
        <v>11</v>
      </c>
      <c r="F57" s="3" t="s">
        <v>105</v>
      </c>
    </row>
    <row r="58" spans="1:6" x14ac:dyDescent="0.15">
      <c r="A58" s="3">
        <f>IF(表3_3246[[#This Row],[级别]]&gt;30000,表3_3246[[#This Row],[级别]],IF(表3_3246[[#This Row],[级别]]=E57,A57+1,10001+表3_3246[[#This Row],[级别]]*100))</f>
        <v>11105</v>
      </c>
      <c r="B58" s="3" t="s">
        <v>364</v>
      </c>
      <c r="C58" s="3" t="s">
        <v>142</v>
      </c>
      <c r="D58" s="3" t="s">
        <v>78</v>
      </c>
      <c r="E58" s="3">
        <v>11</v>
      </c>
      <c r="F58" s="3" t="s">
        <v>105</v>
      </c>
    </row>
    <row r="59" spans="1:6" x14ac:dyDescent="0.15">
      <c r="A59" s="3">
        <f>IF(表3_3246[[#This Row],[级别]]&gt;30000,表3_3246[[#This Row],[级别]],IF(表3_3246[[#This Row],[级别]]=E58,A58+1,10001+表3_3246[[#This Row],[级别]]*100))</f>
        <v>11201</v>
      </c>
      <c r="B59" s="3" t="s">
        <v>365</v>
      </c>
      <c r="C59" s="3" t="s">
        <v>143</v>
      </c>
      <c r="D59" s="3" t="s">
        <v>78</v>
      </c>
      <c r="E59" s="3">
        <v>12</v>
      </c>
      <c r="F59" s="3" t="s">
        <v>105</v>
      </c>
    </row>
    <row r="60" spans="1:6" x14ac:dyDescent="0.15">
      <c r="A60" s="3">
        <f>IF(表3_3246[[#This Row],[级别]]&gt;30000,表3_3246[[#This Row],[级别]],IF(表3_3246[[#This Row],[级别]]=E59,A59+1,10001+表3_3246[[#This Row],[级别]]*100))</f>
        <v>11202</v>
      </c>
      <c r="B60" s="3" t="s">
        <v>366</v>
      </c>
      <c r="C60" s="3" t="s">
        <v>142</v>
      </c>
      <c r="D60" s="3" t="s">
        <v>78</v>
      </c>
      <c r="E60" s="3">
        <v>12</v>
      </c>
      <c r="F60" s="3" t="s">
        <v>105</v>
      </c>
    </row>
    <row r="61" spans="1:6" x14ac:dyDescent="0.15">
      <c r="A61" s="3">
        <f>IF(表3_3246[[#This Row],[级别]]&gt;30000,表3_3246[[#This Row],[级别]],IF(表3_3246[[#This Row],[级别]]=E60,A60+1,10001+表3_3246[[#This Row],[级别]]*100))</f>
        <v>11203</v>
      </c>
      <c r="B61" s="3" t="s">
        <v>367</v>
      </c>
      <c r="C61" s="3" t="s">
        <v>143</v>
      </c>
      <c r="D61" s="3" t="s">
        <v>78</v>
      </c>
      <c r="E61" s="3">
        <v>12</v>
      </c>
      <c r="F61" s="3" t="s">
        <v>105</v>
      </c>
    </row>
    <row r="62" spans="1:6" x14ac:dyDescent="0.15">
      <c r="A62" s="3">
        <f>IF(表3_3246[[#This Row],[级别]]&gt;30000,表3_3246[[#This Row],[级别]],IF(表3_3246[[#This Row],[级别]]=E61,A61+1,10001+表3_3246[[#This Row],[级别]]*100))</f>
        <v>11204</v>
      </c>
      <c r="B62" s="3" t="s">
        <v>368</v>
      </c>
      <c r="C62" s="3" t="s">
        <v>142</v>
      </c>
      <c r="D62" s="3" t="s">
        <v>78</v>
      </c>
      <c r="E62" s="3">
        <v>12</v>
      </c>
      <c r="F62" s="3" t="s">
        <v>105</v>
      </c>
    </row>
    <row r="63" spans="1:6" x14ac:dyDescent="0.15">
      <c r="A63" s="7">
        <f>IF(表3_3246[[#This Row],[级别]]&gt;30000,表3_3246[[#This Row],[级别]],IF(表3_3246[[#This Row],[级别]]=E62,A62+1,10001+表3_3246[[#This Row],[级别]]*100))</f>
        <v>11205</v>
      </c>
      <c r="B63" s="3" t="s">
        <v>369</v>
      </c>
      <c r="C63" s="3" t="s">
        <v>143</v>
      </c>
      <c r="D63" s="3" t="s">
        <v>78</v>
      </c>
      <c r="E63" s="3">
        <v>12</v>
      </c>
      <c r="F63" s="3" t="s">
        <v>105</v>
      </c>
    </row>
    <row r="64" spans="1:6" x14ac:dyDescent="0.15">
      <c r="A64" s="7">
        <f>IF(表3_3246[[#This Row],[级别]]&gt;30000,表3_3246[[#This Row],[级别]],IF(表3_3246[[#This Row],[级别]]=E63,A63+1,10001+表3_3246[[#This Row],[级别]]*100))</f>
        <v>11301</v>
      </c>
      <c r="B64" s="3" t="s">
        <v>370</v>
      </c>
      <c r="C64" s="3" t="s">
        <v>142</v>
      </c>
      <c r="D64" s="3" t="s">
        <v>78</v>
      </c>
      <c r="E64" s="3">
        <v>13</v>
      </c>
      <c r="F64" s="3" t="s">
        <v>105</v>
      </c>
    </row>
    <row r="65" spans="1:6" x14ac:dyDescent="0.15">
      <c r="A65" s="7">
        <f>IF(表3_3246[[#This Row],[级别]]&gt;30000,表3_3246[[#This Row],[级别]],IF(表3_3246[[#This Row],[级别]]=E64,A64+1,10001+表3_3246[[#This Row],[级别]]*100))</f>
        <v>11302</v>
      </c>
      <c r="B65" s="3" t="s">
        <v>371</v>
      </c>
      <c r="C65" s="3" t="s">
        <v>143</v>
      </c>
      <c r="D65" s="3" t="s">
        <v>78</v>
      </c>
      <c r="E65" s="3">
        <v>13</v>
      </c>
      <c r="F65" s="3" t="s">
        <v>105</v>
      </c>
    </row>
    <row r="66" spans="1:6" x14ac:dyDescent="0.15">
      <c r="A66" s="7">
        <f>IF(表3_3246[[#This Row],[级别]]&gt;30000,表3_3246[[#This Row],[级别]],IF(表3_3246[[#This Row],[级别]]=E65,A65+1,10001+表3_3246[[#This Row],[级别]]*100))</f>
        <v>11303</v>
      </c>
      <c r="B66" s="3" t="s">
        <v>372</v>
      </c>
      <c r="C66" s="3" t="s">
        <v>142</v>
      </c>
      <c r="D66" s="3" t="s">
        <v>78</v>
      </c>
      <c r="E66" s="3">
        <v>13</v>
      </c>
      <c r="F66" s="3" t="s">
        <v>105</v>
      </c>
    </row>
    <row r="67" spans="1:6" x14ac:dyDescent="0.15">
      <c r="A67" s="7">
        <f>IF(表3_3246[[#This Row],[级别]]&gt;30000,表3_3246[[#This Row],[级别]],IF(表3_3246[[#This Row],[级别]]=E66,A66+1,10001+表3_3246[[#This Row],[级别]]*100))</f>
        <v>11304</v>
      </c>
      <c r="B67" s="3" t="s">
        <v>390</v>
      </c>
      <c r="C67" s="3" t="s">
        <v>143</v>
      </c>
      <c r="D67" s="3" t="s">
        <v>78</v>
      </c>
      <c r="E67" s="3">
        <v>13</v>
      </c>
      <c r="F67" s="3" t="s">
        <v>105</v>
      </c>
    </row>
    <row r="68" spans="1:6" x14ac:dyDescent="0.15">
      <c r="A68" s="3">
        <f>IF(表3_3246[[#This Row],[级别]]&gt;30000,表3_3246[[#This Row],[级别]],IF(表3_3246[[#This Row],[级别]]=E67,A67+1,10001+表3_3246[[#This Row],[级别]]*100))</f>
        <v>11305</v>
      </c>
      <c r="B68" s="3" t="s">
        <v>373</v>
      </c>
      <c r="C68" s="3" t="s">
        <v>142</v>
      </c>
      <c r="D68" s="3" t="s">
        <v>78</v>
      </c>
      <c r="E68" s="3">
        <v>13</v>
      </c>
      <c r="F68" s="3" t="s">
        <v>105</v>
      </c>
    </row>
    <row r="69" spans="1:6" x14ac:dyDescent="0.15">
      <c r="A69" s="3">
        <f>IF(表3_3246[[#This Row],[级别]]&gt;30000,表3_3246[[#This Row],[级别]],IF(表3_3246[[#This Row],[级别]]=E68,A68+1,10001+表3_3246[[#This Row],[级别]]*100))</f>
        <v>11401</v>
      </c>
      <c r="B69" s="3" t="s">
        <v>374</v>
      </c>
      <c r="C69" s="3" t="s">
        <v>143</v>
      </c>
      <c r="D69" s="3" t="s">
        <v>78</v>
      </c>
      <c r="E69" s="3">
        <v>14</v>
      </c>
      <c r="F69" s="3" t="s">
        <v>105</v>
      </c>
    </row>
    <row r="70" spans="1:6" x14ac:dyDescent="0.15">
      <c r="A70" s="3">
        <f>IF(表3_3246[[#This Row],[级别]]&gt;30000,表3_3246[[#This Row],[级别]],IF(表3_3246[[#This Row],[级别]]=E69,A69+1,10001+表3_3246[[#This Row],[级别]]*100))</f>
        <v>11402</v>
      </c>
      <c r="B70" s="3" t="s">
        <v>375</v>
      </c>
      <c r="C70" s="3" t="s">
        <v>142</v>
      </c>
      <c r="D70" s="3" t="s">
        <v>78</v>
      </c>
      <c r="E70" s="3">
        <v>14</v>
      </c>
      <c r="F70" s="3" t="s">
        <v>105</v>
      </c>
    </row>
    <row r="71" spans="1:6" x14ac:dyDescent="0.15">
      <c r="A71" s="3">
        <f>IF(表3_3246[[#This Row],[级别]]&gt;30000,表3_3246[[#This Row],[级别]],IF(表3_3246[[#This Row],[级别]]=E70,A70+1,10001+表3_3246[[#This Row],[级别]]*100))</f>
        <v>11403</v>
      </c>
      <c r="B71" s="3" t="s">
        <v>376</v>
      </c>
      <c r="C71" s="3" t="s">
        <v>143</v>
      </c>
      <c r="D71" s="3" t="s">
        <v>78</v>
      </c>
      <c r="E71" s="3">
        <v>14</v>
      </c>
      <c r="F71" s="3" t="s">
        <v>105</v>
      </c>
    </row>
    <row r="72" spans="1:6" x14ac:dyDescent="0.15">
      <c r="A72" s="3">
        <f>IF(表3_3246[[#This Row],[级别]]&gt;30000,表3_3246[[#This Row],[级别]],IF(表3_3246[[#This Row],[级别]]=E71,A71+1,10001+表3_3246[[#This Row],[级别]]*100))</f>
        <v>11501</v>
      </c>
      <c r="B72" s="3" t="s">
        <v>377</v>
      </c>
      <c r="C72" s="3" t="s">
        <v>142</v>
      </c>
      <c r="D72" s="3" t="s">
        <v>78</v>
      </c>
      <c r="E72" s="3">
        <v>15</v>
      </c>
      <c r="F72" s="3" t="s">
        <v>105</v>
      </c>
    </row>
    <row r="73" spans="1:6" x14ac:dyDescent="0.15">
      <c r="A73" s="3">
        <f>IF(表3_3246[[#This Row],[级别]]&gt;30000,表3_3246[[#This Row],[级别]],IF(表3_3246[[#This Row],[级别]]=E72,A72+1,10001+表3_3246[[#This Row],[级别]]*100))</f>
        <v>11502</v>
      </c>
      <c r="B73" s="3" t="s">
        <v>391</v>
      </c>
      <c r="C73" s="3" t="s">
        <v>143</v>
      </c>
      <c r="D73" s="3" t="s">
        <v>78</v>
      </c>
      <c r="E73" s="3">
        <v>15</v>
      </c>
      <c r="F73" s="3" t="s">
        <v>105</v>
      </c>
    </row>
    <row r="74" spans="1:6" x14ac:dyDescent="0.15">
      <c r="A74" s="3">
        <f>IF(表3_3246[[#This Row],[级别]]&gt;30000,表3_3246[[#This Row],[级别]],IF(表3_3246[[#This Row],[级别]]=E73,A73+1,10001+表3_3246[[#This Row],[级别]]*100))</f>
        <v>11503</v>
      </c>
      <c r="B74" s="3" t="s">
        <v>392</v>
      </c>
      <c r="C74" s="3" t="s">
        <v>142</v>
      </c>
      <c r="D74" s="3" t="s">
        <v>78</v>
      </c>
      <c r="E74" s="3">
        <v>15</v>
      </c>
      <c r="F74" s="3" t="s">
        <v>105</v>
      </c>
    </row>
    <row r="75" spans="1:6" x14ac:dyDescent="0.15">
      <c r="A75" s="3">
        <f>IF(表3_3246[[#This Row],[级别]]&gt;30000,表3_3246[[#This Row],[级别]],IF(表3_3246[[#This Row],[级别]]=E74,A74+1,10001+表3_3246[[#This Row],[级别]]*100))</f>
        <v>11601</v>
      </c>
      <c r="B75" s="3" t="s">
        <v>378</v>
      </c>
      <c r="C75" s="3" t="s">
        <v>143</v>
      </c>
      <c r="D75" s="3" t="s">
        <v>78</v>
      </c>
      <c r="E75" s="3">
        <v>16</v>
      </c>
      <c r="F75" s="3" t="s">
        <v>105</v>
      </c>
    </row>
    <row r="76" spans="1:6" x14ac:dyDescent="0.15">
      <c r="A76" s="3">
        <f>IF(表3_3246[[#This Row],[级别]]&gt;30000,表3_3246[[#This Row],[级别]],IF(表3_3246[[#This Row],[级别]]=E75,A75+1,10001+表3_3246[[#This Row],[级别]]*100))</f>
        <v>11602</v>
      </c>
      <c r="B76" s="3" t="s">
        <v>379</v>
      </c>
      <c r="C76" s="3" t="s">
        <v>142</v>
      </c>
      <c r="D76" s="3" t="s">
        <v>78</v>
      </c>
      <c r="E76" s="3">
        <v>16</v>
      </c>
      <c r="F76" s="3" t="s">
        <v>105</v>
      </c>
    </row>
    <row r="77" spans="1:6" x14ac:dyDescent="0.15">
      <c r="A77" s="3">
        <f>IF(表3_3246[[#This Row],[级别]]&gt;30000,表3_3246[[#This Row],[级别]],IF(表3_3246[[#This Row],[级别]]=E76,A76+1,10001+表3_3246[[#This Row],[级别]]*100))</f>
        <v>11603</v>
      </c>
      <c r="B77" s="3" t="s">
        <v>380</v>
      </c>
      <c r="C77" s="3" t="s">
        <v>143</v>
      </c>
      <c r="D77" s="3" t="s">
        <v>78</v>
      </c>
      <c r="E77" s="3">
        <v>16</v>
      </c>
      <c r="F77" s="3" t="s">
        <v>105</v>
      </c>
    </row>
    <row r="78" spans="1:6" x14ac:dyDescent="0.15">
      <c r="A78" s="3">
        <f>IF(表3_3246[[#This Row],[级别]]&gt;30000,表3_3246[[#This Row],[级别]],IF(表3_3246[[#This Row],[级别]]=E77,A77+1,10001+表3_3246[[#This Row],[级别]]*100))</f>
        <v>11701</v>
      </c>
      <c r="B78" s="3" t="s">
        <v>381</v>
      </c>
      <c r="C78" s="3" t="s">
        <v>142</v>
      </c>
      <c r="D78" s="3" t="s">
        <v>78</v>
      </c>
      <c r="E78" s="3">
        <v>17</v>
      </c>
      <c r="F78" s="3" t="s">
        <v>105</v>
      </c>
    </row>
    <row r="79" spans="1:6" x14ac:dyDescent="0.15">
      <c r="A79" s="3">
        <f>IF(表3_3246[[#This Row],[级别]]&gt;30000,表3_3246[[#This Row],[级别]],IF(表3_3246[[#This Row],[级别]]=E78,A78+1,10001+表3_3246[[#This Row],[级别]]*100))</f>
        <v>11702</v>
      </c>
      <c r="B79" s="3" t="s">
        <v>382</v>
      </c>
      <c r="C79" s="3" t="s">
        <v>143</v>
      </c>
      <c r="D79" s="3" t="s">
        <v>78</v>
      </c>
      <c r="E79" s="3">
        <v>17</v>
      </c>
      <c r="F79" s="3" t="s">
        <v>105</v>
      </c>
    </row>
    <row r="80" spans="1:6" x14ac:dyDescent="0.15">
      <c r="A80" s="3">
        <f>IF(表3_3246[[#This Row],[级别]]&gt;30000,表3_3246[[#This Row],[级别]],IF(表3_3246[[#This Row],[级别]]=E79,A79+1,10001+表3_3246[[#This Row],[级别]]*100))</f>
        <v>11703</v>
      </c>
      <c r="B80" s="3" t="s">
        <v>383</v>
      </c>
      <c r="C80" s="3" t="s">
        <v>142</v>
      </c>
      <c r="D80" s="3" t="s">
        <v>78</v>
      </c>
      <c r="E80" s="3">
        <v>17</v>
      </c>
      <c r="F80" s="3" t="s">
        <v>105</v>
      </c>
    </row>
    <row r="81" spans="1:6" x14ac:dyDescent="0.15">
      <c r="A81" s="20">
        <f>IF(表3_3246[[#This Row],[级别]]&gt;30000,表3_3246[[#This Row],[级别]],IF(表3_3246[[#This Row],[级别]]=E80,A80+1,10001+表3_3246[[#This Row],[级别]]*100))</f>
        <v>20101</v>
      </c>
      <c r="B81" s="3" t="s">
        <v>393</v>
      </c>
      <c r="C81" s="3" t="s">
        <v>142</v>
      </c>
      <c r="D81" s="3" t="s">
        <v>78</v>
      </c>
      <c r="E81" s="3">
        <v>101</v>
      </c>
      <c r="F81" s="3" t="s">
        <v>120</v>
      </c>
    </row>
    <row r="82" spans="1:6" x14ac:dyDescent="0.15">
      <c r="A82" s="20">
        <f>IF(表3_3246[[#This Row],[级别]]&gt;30000,表3_3246[[#This Row],[级别]],IF(表3_3246[[#This Row],[级别]]=E81,A81+1,10001+表3_3246[[#This Row],[级别]]*100))</f>
        <v>20102</v>
      </c>
      <c r="B82" s="3" t="s">
        <v>394</v>
      </c>
      <c r="C82" s="3" t="s">
        <v>143</v>
      </c>
      <c r="D82" s="3" t="s">
        <v>78</v>
      </c>
      <c r="E82" s="3">
        <v>101</v>
      </c>
      <c r="F82" s="3" t="s">
        <v>120</v>
      </c>
    </row>
    <row r="83" spans="1:6" x14ac:dyDescent="0.15">
      <c r="A83" s="20">
        <f>IF(表3_3246[[#This Row],[级别]]&gt;30000,表3_3246[[#This Row],[级别]],IF(表3_3246[[#This Row],[级别]]=E82,A82+1,10001+表3_3246[[#This Row],[级别]]*100))</f>
        <v>20103</v>
      </c>
      <c r="B83" s="3" t="s">
        <v>395</v>
      </c>
      <c r="C83" s="3" t="s">
        <v>142</v>
      </c>
      <c r="D83" s="3" t="s">
        <v>78</v>
      </c>
      <c r="E83" s="3">
        <v>101</v>
      </c>
      <c r="F83" s="3" t="s">
        <v>120</v>
      </c>
    </row>
    <row r="84" spans="1:6" x14ac:dyDescent="0.15">
      <c r="A84" s="20">
        <f>IF(表3_3246[[#This Row],[级别]]&gt;30000,表3_3246[[#This Row],[级别]],IF(表3_3246[[#This Row],[级别]]=E83,A83+1,10001+表3_3246[[#This Row],[级别]]*100))</f>
        <v>20104</v>
      </c>
      <c r="B84" s="3" t="s">
        <v>396</v>
      </c>
      <c r="C84" s="3" t="s">
        <v>143</v>
      </c>
      <c r="D84" s="3" t="s">
        <v>78</v>
      </c>
      <c r="E84" s="3">
        <v>101</v>
      </c>
      <c r="F84" s="3" t="s">
        <v>120</v>
      </c>
    </row>
    <row r="85" spans="1:6" x14ac:dyDescent="0.15">
      <c r="A85" s="20">
        <f>IF(表3_3246[[#This Row],[级别]]&gt;30000,表3_3246[[#This Row],[级别]],IF(表3_3246[[#This Row],[级别]]=E84,A84+1,10001+表3_3246[[#This Row],[级别]]*100))</f>
        <v>30005</v>
      </c>
      <c r="B85" s="3" t="s">
        <v>110</v>
      </c>
      <c r="C85" s="3" t="s">
        <v>87</v>
      </c>
      <c r="D85" s="3" t="s">
        <v>138</v>
      </c>
      <c r="E85" s="3">
        <v>30005</v>
      </c>
      <c r="F85" s="3" t="s">
        <v>120</v>
      </c>
    </row>
    <row r="86" spans="1:6" x14ac:dyDescent="0.15">
      <c r="A86" s="20">
        <f>IF(表3_3246[[#This Row],[级别]]&gt;30000,表3_3246[[#This Row],[级别]],IF(表3_3246[[#This Row],[级别]]=E85,A85+1,10001+表3_3246[[#This Row],[级别]]*100))</f>
        <v>20201</v>
      </c>
      <c r="B86" s="3" t="s">
        <v>397</v>
      </c>
      <c r="C86" s="3" t="s">
        <v>142</v>
      </c>
      <c r="D86" s="3" t="s">
        <v>78</v>
      </c>
      <c r="E86" s="3">
        <v>102</v>
      </c>
      <c r="F86" s="3" t="s">
        <v>120</v>
      </c>
    </row>
    <row r="87" spans="1:6" x14ac:dyDescent="0.15">
      <c r="A87" s="20">
        <f>IF(表3_3246[[#This Row],[级别]]&gt;30000,表3_3246[[#This Row],[级别]],IF(表3_3246[[#This Row],[级别]]=E86,A86+1,10001+表3_3246[[#This Row],[级别]]*100))</f>
        <v>20202</v>
      </c>
      <c r="B87" s="3" t="s">
        <v>398</v>
      </c>
      <c r="C87" s="3" t="s">
        <v>143</v>
      </c>
      <c r="D87" s="3" t="s">
        <v>78</v>
      </c>
      <c r="E87" s="3">
        <v>102</v>
      </c>
      <c r="F87" s="3" t="s">
        <v>120</v>
      </c>
    </row>
    <row r="88" spans="1:6" x14ac:dyDescent="0.15">
      <c r="A88" s="20">
        <f>IF(表3_3246[[#This Row],[级别]]&gt;30000,表3_3246[[#This Row],[级别]],IF(表3_3246[[#This Row],[级别]]=E87,A87+1,10001+表3_3246[[#This Row],[级别]]*100))</f>
        <v>20203</v>
      </c>
      <c r="B88" s="3" t="s">
        <v>399</v>
      </c>
      <c r="C88" s="3" t="s">
        <v>142</v>
      </c>
      <c r="D88" s="3" t="s">
        <v>78</v>
      </c>
      <c r="E88" s="3">
        <v>102</v>
      </c>
      <c r="F88" s="3" t="s">
        <v>120</v>
      </c>
    </row>
    <row r="89" spans="1:6" x14ac:dyDescent="0.15">
      <c r="A89" s="20">
        <f>IF(表3_3246[[#This Row],[级别]]&gt;30000,表3_3246[[#This Row],[级别]],IF(表3_3246[[#This Row],[级别]]=E88,A88+1,10001+表3_3246[[#This Row],[级别]]*100))</f>
        <v>20204</v>
      </c>
      <c r="B89" s="3" t="s">
        <v>400</v>
      </c>
      <c r="C89" s="3" t="s">
        <v>143</v>
      </c>
      <c r="D89" s="3" t="s">
        <v>78</v>
      </c>
      <c r="E89" s="3">
        <v>102</v>
      </c>
      <c r="F89" s="3" t="s">
        <v>120</v>
      </c>
    </row>
    <row r="90" spans="1:6" x14ac:dyDescent="0.15">
      <c r="A90" s="20">
        <f>IF(表3_3246[[#This Row],[级别]]&gt;30000,表3_3246[[#This Row],[级别]],IF(表3_3246[[#This Row],[级别]]=E89,A89+1,10001+表3_3246[[#This Row],[级别]]*100))</f>
        <v>30010</v>
      </c>
      <c r="B90" s="3" t="s">
        <v>111</v>
      </c>
      <c r="C90" s="3" t="s">
        <v>88</v>
      </c>
      <c r="D90" s="3" t="s">
        <v>139</v>
      </c>
      <c r="E90" s="3">
        <v>30010</v>
      </c>
      <c r="F90" s="3" t="s">
        <v>120</v>
      </c>
    </row>
    <row r="91" spans="1:6" x14ac:dyDescent="0.15">
      <c r="A91" s="20">
        <f>IF(表3_3246[[#This Row],[级别]]&gt;30000,表3_3246[[#This Row],[级别]],IF(表3_3246[[#This Row],[级别]]=E90,A90+1,10001+表3_3246[[#This Row],[级别]]*100))</f>
        <v>20301</v>
      </c>
      <c r="B91" s="3" t="s">
        <v>401</v>
      </c>
      <c r="C91" s="3" t="s">
        <v>142</v>
      </c>
      <c r="D91" s="3" t="s">
        <v>78</v>
      </c>
      <c r="E91" s="3">
        <v>103</v>
      </c>
      <c r="F91" s="3" t="s">
        <v>120</v>
      </c>
    </row>
    <row r="92" spans="1:6" x14ac:dyDescent="0.15">
      <c r="A92" s="20">
        <f>IF(表3_3246[[#This Row],[级别]]&gt;30000,表3_3246[[#This Row],[级别]],IF(表3_3246[[#This Row],[级别]]=E91,A91+1,10001+表3_3246[[#This Row],[级别]]*100))</f>
        <v>20302</v>
      </c>
      <c r="B92" s="3" t="s">
        <v>402</v>
      </c>
      <c r="C92" s="3" t="s">
        <v>143</v>
      </c>
      <c r="D92" s="3" t="s">
        <v>78</v>
      </c>
      <c r="E92" s="3">
        <v>103</v>
      </c>
      <c r="F92" s="3" t="s">
        <v>120</v>
      </c>
    </row>
    <row r="93" spans="1:6" x14ac:dyDescent="0.15">
      <c r="A93" s="20">
        <f>IF(表3_3246[[#This Row],[级别]]&gt;30000,表3_3246[[#This Row],[级别]],IF(表3_3246[[#This Row],[级别]]=E92,A92+1,10001+表3_3246[[#This Row],[级别]]*100))</f>
        <v>20303</v>
      </c>
      <c r="B93" s="3" t="s">
        <v>403</v>
      </c>
      <c r="C93" s="3" t="s">
        <v>142</v>
      </c>
      <c r="D93" s="3" t="s">
        <v>78</v>
      </c>
      <c r="E93" s="3">
        <v>103</v>
      </c>
      <c r="F93" s="3" t="s">
        <v>120</v>
      </c>
    </row>
    <row r="94" spans="1:6" x14ac:dyDescent="0.15">
      <c r="A94" s="20">
        <f>IF(表3_3246[[#This Row],[级别]]&gt;30000,表3_3246[[#This Row],[级别]],IF(表3_3246[[#This Row],[级别]]=E93,A93+1,10001+表3_3246[[#This Row],[级别]]*100))</f>
        <v>20304</v>
      </c>
      <c r="B94" s="3" t="s">
        <v>404</v>
      </c>
      <c r="C94" s="3" t="s">
        <v>143</v>
      </c>
      <c r="D94" s="3" t="s">
        <v>78</v>
      </c>
      <c r="E94" s="3">
        <v>103</v>
      </c>
      <c r="F94" s="3" t="s">
        <v>120</v>
      </c>
    </row>
    <row r="95" spans="1:6" x14ac:dyDescent="0.15">
      <c r="A95" s="20">
        <f>IF(表3_3246[[#This Row],[级别]]&gt;30000,表3_3246[[#This Row],[级别]],IF(表3_3246[[#This Row],[级别]]=E94,A94+1,10001+表3_3246[[#This Row],[级别]]*100))</f>
        <v>30015</v>
      </c>
      <c r="B95" s="3" t="s">
        <v>112</v>
      </c>
      <c r="C95" s="3" t="s">
        <v>89</v>
      </c>
      <c r="D95" s="3" t="s">
        <v>78</v>
      </c>
      <c r="E95" s="3">
        <v>30015</v>
      </c>
      <c r="F95" s="3" t="s">
        <v>120</v>
      </c>
    </row>
    <row r="96" spans="1:6" x14ac:dyDescent="0.15">
      <c r="A96" s="20">
        <f>IF(表3_3246[[#This Row],[级别]]&gt;30000,表3_3246[[#This Row],[级别]],IF(表3_3246[[#This Row],[级别]]=E95,A95+1,10001+表3_3246[[#This Row],[级别]]*100))</f>
        <v>20401</v>
      </c>
      <c r="B96" s="3" t="s">
        <v>405</v>
      </c>
      <c r="C96" s="3" t="s">
        <v>142</v>
      </c>
      <c r="D96" s="3" t="s">
        <v>78</v>
      </c>
      <c r="E96" s="3">
        <v>104</v>
      </c>
      <c r="F96" s="3" t="s">
        <v>120</v>
      </c>
    </row>
    <row r="97" spans="1:6" x14ac:dyDescent="0.15">
      <c r="A97" s="20">
        <f>IF(表3_3246[[#This Row],[级别]]&gt;30000,表3_3246[[#This Row],[级别]],IF(表3_3246[[#This Row],[级别]]=E96,A96+1,10001+表3_3246[[#This Row],[级别]]*100))</f>
        <v>20402</v>
      </c>
      <c r="B97" s="3" t="s">
        <v>406</v>
      </c>
      <c r="C97" s="3" t="s">
        <v>143</v>
      </c>
      <c r="D97" s="3" t="s">
        <v>78</v>
      </c>
      <c r="E97" s="3">
        <v>104</v>
      </c>
      <c r="F97" s="3" t="s">
        <v>120</v>
      </c>
    </row>
    <row r="98" spans="1:6" x14ac:dyDescent="0.15">
      <c r="A98" s="20">
        <f>IF(表3_3246[[#This Row],[级别]]&gt;30000,表3_3246[[#This Row],[级别]],IF(表3_3246[[#This Row],[级别]]=E97,A97+1,10001+表3_3246[[#This Row],[级别]]*100))</f>
        <v>20403</v>
      </c>
      <c r="B98" s="3" t="s">
        <v>407</v>
      </c>
      <c r="C98" s="3" t="s">
        <v>142</v>
      </c>
      <c r="D98" s="3" t="s">
        <v>78</v>
      </c>
      <c r="E98" s="3">
        <v>104</v>
      </c>
      <c r="F98" s="3" t="s">
        <v>120</v>
      </c>
    </row>
    <row r="99" spans="1:6" x14ac:dyDescent="0.15">
      <c r="A99" s="20">
        <f>IF(表3_3246[[#This Row],[级别]]&gt;30000,表3_3246[[#This Row],[级别]],IF(表3_3246[[#This Row],[级别]]=E98,A98+1,10001+表3_3246[[#This Row],[级别]]*100))</f>
        <v>20404</v>
      </c>
      <c r="B99" s="3" t="s">
        <v>408</v>
      </c>
      <c r="C99" s="3" t="s">
        <v>143</v>
      </c>
      <c r="D99" s="3" t="s">
        <v>78</v>
      </c>
      <c r="E99" s="3">
        <v>104</v>
      </c>
      <c r="F99" s="3" t="s">
        <v>120</v>
      </c>
    </row>
    <row r="100" spans="1:6" x14ac:dyDescent="0.15">
      <c r="A100" s="20">
        <f>IF(表3_3246[[#This Row],[级别]]&gt;30000,表3_3246[[#This Row],[级别]],IF(表3_3246[[#This Row],[级别]]=E99,A99+1,10001+表3_3246[[#This Row],[级别]]*100))</f>
        <v>30020</v>
      </c>
      <c r="B100" s="3" t="s">
        <v>113</v>
      </c>
      <c r="C100" s="3" t="s">
        <v>90</v>
      </c>
      <c r="D100" s="3" t="s">
        <v>140</v>
      </c>
      <c r="E100" s="3">
        <v>30020</v>
      </c>
      <c r="F100" s="3" t="s">
        <v>120</v>
      </c>
    </row>
    <row r="101" spans="1:6" x14ac:dyDescent="0.15">
      <c r="A101" s="20">
        <f>IF(表3_3246[[#This Row],[级别]]&gt;30000,表3_3246[[#This Row],[级别]],IF(表3_3246[[#This Row],[级别]]=E100,A100+1,10001+表3_3246[[#This Row],[级别]]*100))</f>
        <v>20501</v>
      </c>
      <c r="B101" s="3" t="s">
        <v>409</v>
      </c>
      <c r="C101" s="3" t="s">
        <v>142</v>
      </c>
      <c r="D101" s="3" t="s">
        <v>78</v>
      </c>
      <c r="E101" s="3">
        <v>105</v>
      </c>
      <c r="F101" s="3" t="s">
        <v>120</v>
      </c>
    </row>
    <row r="102" spans="1:6" x14ac:dyDescent="0.15">
      <c r="A102" s="20">
        <f>IF(表3_3246[[#This Row],[级别]]&gt;30000,表3_3246[[#This Row],[级别]],IF(表3_3246[[#This Row],[级别]]=E101,A101+1,10001+表3_3246[[#This Row],[级别]]*100))</f>
        <v>20502</v>
      </c>
      <c r="B102" s="3" t="s">
        <v>410</v>
      </c>
      <c r="C102" s="3" t="s">
        <v>143</v>
      </c>
      <c r="D102" s="3" t="s">
        <v>78</v>
      </c>
      <c r="E102" s="3">
        <v>105</v>
      </c>
      <c r="F102" s="3" t="s">
        <v>120</v>
      </c>
    </row>
    <row r="103" spans="1:6" x14ac:dyDescent="0.15">
      <c r="A103" s="20">
        <f>IF(表3_3246[[#This Row],[级别]]&gt;30000,表3_3246[[#This Row],[级别]],IF(表3_3246[[#This Row],[级别]]=E102,A102+1,10001+表3_3246[[#This Row],[级别]]*100))</f>
        <v>20503</v>
      </c>
      <c r="B103" s="3" t="s">
        <v>411</v>
      </c>
      <c r="C103" s="3" t="s">
        <v>142</v>
      </c>
      <c r="D103" s="3" t="s">
        <v>78</v>
      </c>
      <c r="E103" s="3">
        <v>105</v>
      </c>
      <c r="F103" s="3" t="s">
        <v>120</v>
      </c>
    </row>
    <row r="104" spans="1:6" x14ac:dyDescent="0.15">
      <c r="A104" s="20">
        <f>IF(表3_3246[[#This Row],[级别]]&gt;30000,表3_3246[[#This Row],[级别]],IF(表3_3246[[#This Row],[级别]]=E103,A103+1,10001+表3_3246[[#This Row],[级别]]*100))</f>
        <v>20504</v>
      </c>
      <c r="B104" s="3" t="s">
        <v>412</v>
      </c>
      <c r="C104" s="3" t="s">
        <v>143</v>
      </c>
      <c r="D104" s="3" t="s">
        <v>78</v>
      </c>
      <c r="E104" s="3">
        <v>105</v>
      </c>
      <c r="F104" s="3" t="s">
        <v>120</v>
      </c>
    </row>
    <row r="105" spans="1:6" x14ac:dyDescent="0.15">
      <c r="A105" s="20">
        <f>IF(表3_3246[[#This Row],[级别]]&gt;30000,表3_3246[[#This Row],[级别]],IF(表3_3246[[#This Row],[级别]]=E104,A104+1,10001+表3_3246[[#This Row],[级别]]*100))</f>
        <v>30025</v>
      </c>
      <c r="B105" s="3" t="s">
        <v>114</v>
      </c>
      <c r="C105" s="3" t="s">
        <v>91</v>
      </c>
      <c r="D105" s="3" t="s">
        <v>78</v>
      </c>
      <c r="E105" s="3">
        <v>30025</v>
      </c>
      <c r="F105" s="3" t="s">
        <v>120</v>
      </c>
    </row>
    <row r="106" spans="1:6" x14ac:dyDescent="0.15">
      <c r="A106" s="20">
        <f>IF(表3_3246[[#This Row],[级别]]&gt;30000,表3_3246[[#This Row],[级别]],IF(表3_3246[[#This Row],[级别]]=E105,A105+1,10001+表3_3246[[#This Row],[级别]]*100))</f>
        <v>20601</v>
      </c>
      <c r="B106" s="3" t="s">
        <v>413</v>
      </c>
      <c r="C106" s="3" t="s">
        <v>142</v>
      </c>
      <c r="D106" s="3" t="s">
        <v>78</v>
      </c>
      <c r="E106" s="3">
        <v>106</v>
      </c>
      <c r="F106" s="3" t="s">
        <v>120</v>
      </c>
    </row>
    <row r="107" spans="1:6" x14ac:dyDescent="0.15">
      <c r="A107" s="20">
        <f>IF(表3_3246[[#This Row],[级别]]&gt;30000,表3_3246[[#This Row],[级别]],IF(表3_3246[[#This Row],[级别]]=E106,A106+1,10001+表3_3246[[#This Row],[级别]]*100))</f>
        <v>20602</v>
      </c>
      <c r="B107" s="3" t="s">
        <v>414</v>
      </c>
      <c r="C107" s="3" t="s">
        <v>143</v>
      </c>
      <c r="D107" s="3" t="s">
        <v>78</v>
      </c>
      <c r="E107" s="3">
        <v>106</v>
      </c>
      <c r="F107" s="3" t="s">
        <v>120</v>
      </c>
    </row>
    <row r="108" spans="1:6" x14ac:dyDescent="0.15">
      <c r="A108" s="20">
        <f>IF(表3_3246[[#This Row],[级别]]&gt;30000,表3_3246[[#This Row],[级别]],IF(表3_3246[[#This Row],[级别]]=E107,A107+1,10001+表3_3246[[#This Row],[级别]]*100))</f>
        <v>20603</v>
      </c>
      <c r="B108" s="3" t="s">
        <v>415</v>
      </c>
      <c r="C108" s="3" t="s">
        <v>142</v>
      </c>
      <c r="D108" s="3" t="s">
        <v>78</v>
      </c>
      <c r="E108" s="3">
        <v>106</v>
      </c>
      <c r="F108" s="3" t="s">
        <v>120</v>
      </c>
    </row>
    <row r="109" spans="1:6" x14ac:dyDescent="0.15">
      <c r="A109" s="20">
        <f>IF(表3_3246[[#This Row],[级别]]&gt;30000,表3_3246[[#This Row],[级别]],IF(表3_3246[[#This Row],[级别]]=E108,A108+1,10001+表3_3246[[#This Row],[级别]]*100))</f>
        <v>20604</v>
      </c>
      <c r="B109" s="3" t="s">
        <v>416</v>
      </c>
      <c r="C109" s="3" t="s">
        <v>143</v>
      </c>
      <c r="D109" s="3" t="s">
        <v>78</v>
      </c>
      <c r="E109" s="3">
        <v>106</v>
      </c>
      <c r="F109" s="3" t="s">
        <v>120</v>
      </c>
    </row>
    <row r="110" spans="1:6" x14ac:dyDescent="0.15">
      <c r="A110" s="20">
        <f>IF(表3_3246[[#This Row],[级别]]&gt;30000,表3_3246[[#This Row],[级别]],IF(表3_3246[[#This Row],[级别]]=E109,A109+1,10001+表3_3246[[#This Row],[级别]]*100))</f>
        <v>30030</v>
      </c>
      <c r="B110" s="3" t="s">
        <v>115</v>
      </c>
      <c r="C110" s="3" t="s">
        <v>92</v>
      </c>
      <c r="D110" s="3" t="s">
        <v>141</v>
      </c>
      <c r="E110" s="3">
        <v>30030</v>
      </c>
      <c r="F110" s="3" t="s">
        <v>120</v>
      </c>
    </row>
    <row r="111" spans="1:6" x14ac:dyDescent="0.15">
      <c r="A111" s="20">
        <f>IF(表3_3246[[#This Row],[级别]]&gt;30000,表3_3246[[#This Row],[级别]],IF(表3_3246[[#This Row],[级别]]=E110,A110+1,10001+表3_3246[[#This Row],[级别]]*100))</f>
        <v>20701</v>
      </c>
      <c r="B111" s="3" t="s">
        <v>417</v>
      </c>
      <c r="C111" s="3" t="s">
        <v>142</v>
      </c>
      <c r="D111" s="3" t="s">
        <v>78</v>
      </c>
      <c r="E111" s="3">
        <v>107</v>
      </c>
      <c r="F111" s="3" t="s">
        <v>120</v>
      </c>
    </row>
    <row r="112" spans="1:6" x14ac:dyDescent="0.15">
      <c r="A112" s="20">
        <f>IF(表3_3246[[#This Row],[级别]]&gt;30000,表3_3246[[#This Row],[级别]],IF(表3_3246[[#This Row],[级别]]=E111,A111+1,10001+表3_3246[[#This Row],[级别]]*100))</f>
        <v>20702</v>
      </c>
      <c r="B112" s="3" t="s">
        <v>418</v>
      </c>
      <c r="C112" s="3" t="s">
        <v>143</v>
      </c>
      <c r="D112" s="3" t="s">
        <v>78</v>
      </c>
      <c r="E112" s="3">
        <v>107</v>
      </c>
      <c r="F112" s="3" t="s">
        <v>120</v>
      </c>
    </row>
    <row r="113" spans="1:6" x14ac:dyDescent="0.15">
      <c r="A113" s="20">
        <f>IF(表3_3246[[#This Row],[级别]]&gt;30000,表3_3246[[#This Row],[级别]],IF(表3_3246[[#This Row],[级别]]=E112,A112+1,10001+表3_3246[[#This Row],[级别]]*100))</f>
        <v>20703</v>
      </c>
      <c r="B113" s="3" t="s">
        <v>419</v>
      </c>
      <c r="C113" s="3" t="s">
        <v>142</v>
      </c>
      <c r="D113" s="3" t="s">
        <v>78</v>
      </c>
      <c r="E113" s="3">
        <v>107</v>
      </c>
      <c r="F113" s="3" t="s">
        <v>120</v>
      </c>
    </row>
    <row r="114" spans="1:6" x14ac:dyDescent="0.15">
      <c r="A114" s="20">
        <f>IF(表3_3246[[#This Row],[级别]]&gt;30000,表3_3246[[#This Row],[级别]],IF(表3_3246[[#This Row],[级别]]=E113,A113+1,10001+表3_3246[[#This Row],[级别]]*100))</f>
        <v>20704</v>
      </c>
      <c r="B114" s="3" t="s">
        <v>420</v>
      </c>
      <c r="C114" s="3" t="s">
        <v>143</v>
      </c>
      <c r="D114" s="3" t="s">
        <v>78</v>
      </c>
      <c r="E114" s="3">
        <v>107</v>
      </c>
      <c r="F114" s="3" t="s">
        <v>120</v>
      </c>
    </row>
    <row r="115" spans="1:6" x14ac:dyDescent="0.15">
      <c r="A115" s="20">
        <f>IF(表3_3246[[#This Row],[级别]]&gt;30000,表3_3246[[#This Row],[级别]],IF(表3_3246[[#This Row],[级别]]=E114,A114+1,10001+表3_3246[[#This Row],[级别]]*100))</f>
        <v>30035</v>
      </c>
      <c r="B115" s="3" t="s">
        <v>116</v>
      </c>
      <c r="C115" s="3" t="s">
        <v>142</v>
      </c>
      <c r="D115" s="3" t="s">
        <v>78</v>
      </c>
      <c r="E115" s="3">
        <v>30035</v>
      </c>
      <c r="F115" s="3" t="s">
        <v>120</v>
      </c>
    </row>
    <row r="116" spans="1:6" x14ac:dyDescent="0.15">
      <c r="A116" s="20">
        <f>IF(表3_3246[[#This Row],[级别]]&gt;30000,表3_3246[[#This Row],[级别]],IF(表3_3246[[#This Row],[级别]]=E115,A115+1,10001+表3_3246[[#This Row],[级别]]*100))</f>
        <v>20801</v>
      </c>
      <c r="B116" s="3" t="s">
        <v>421</v>
      </c>
      <c r="C116" s="3" t="s">
        <v>143</v>
      </c>
      <c r="D116" s="3" t="s">
        <v>78</v>
      </c>
      <c r="E116" s="3">
        <v>108</v>
      </c>
      <c r="F116" s="3" t="s">
        <v>120</v>
      </c>
    </row>
    <row r="117" spans="1:6" x14ac:dyDescent="0.15">
      <c r="A117" s="20">
        <f>IF(表3_3246[[#This Row],[级别]]&gt;30000,表3_3246[[#This Row],[级别]],IF(表3_3246[[#This Row],[级别]]=E116,A116+1,10001+表3_3246[[#This Row],[级别]]*100))</f>
        <v>20802</v>
      </c>
      <c r="B117" s="3" t="s">
        <v>422</v>
      </c>
      <c r="C117" s="3" t="s">
        <v>142</v>
      </c>
      <c r="D117" s="3" t="s">
        <v>78</v>
      </c>
      <c r="E117" s="3">
        <v>108</v>
      </c>
      <c r="F117" s="3" t="s">
        <v>120</v>
      </c>
    </row>
    <row r="118" spans="1:6" x14ac:dyDescent="0.15">
      <c r="A118" s="20">
        <f>IF(表3_3246[[#This Row],[级别]]&gt;30000,表3_3246[[#This Row],[级别]],IF(表3_3246[[#This Row],[级别]]=E117,A117+1,10001+表3_3246[[#This Row],[级别]]*100))</f>
        <v>20803</v>
      </c>
      <c r="B118" s="3" t="s">
        <v>423</v>
      </c>
      <c r="C118" s="3" t="s">
        <v>143</v>
      </c>
      <c r="D118" s="3" t="s">
        <v>78</v>
      </c>
      <c r="E118" s="3">
        <v>108</v>
      </c>
      <c r="F118" s="3" t="s">
        <v>120</v>
      </c>
    </row>
    <row r="119" spans="1:6" x14ac:dyDescent="0.15">
      <c r="A119" s="20">
        <f>IF(表3_3246[[#This Row],[级别]]&gt;30000,表3_3246[[#This Row],[级别]],IF(表3_3246[[#This Row],[级别]]=E118,A118+1,10001+表3_3246[[#This Row],[级别]]*100))</f>
        <v>20804</v>
      </c>
      <c r="B119" s="3" t="s">
        <v>424</v>
      </c>
      <c r="C119" s="3" t="s">
        <v>142</v>
      </c>
      <c r="D119" s="3" t="s">
        <v>78</v>
      </c>
      <c r="E119" s="3">
        <v>108</v>
      </c>
      <c r="F119" s="3" t="s">
        <v>120</v>
      </c>
    </row>
    <row r="120" spans="1:6" x14ac:dyDescent="0.15">
      <c r="A120" s="20">
        <f>IF(表3_3246[[#This Row],[级别]]&gt;30000,表3_3246[[#This Row],[级别]],IF(表3_3246[[#This Row],[级别]]=E119,A119+1,10001+表3_3246[[#This Row],[级别]]*100))</f>
        <v>30040</v>
      </c>
      <c r="B120" s="3" t="s">
        <v>117</v>
      </c>
      <c r="C120" s="3" t="s">
        <v>143</v>
      </c>
      <c r="D120" s="3" t="s">
        <v>78</v>
      </c>
      <c r="E120" s="3">
        <v>30040</v>
      </c>
      <c r="F120" s="3" t="s">
        <v>120</v>
      </c>
    </row>
    <row r="121" spans="1:6" x14ac:dyDescent="0.15">
      <c r="A121" s="20">
        <f>IF(表3_3246[[#This Row],[级别]]&gt;30000,表3_3246[[#This Row],[级别]],IF(表3_3246[[#This Row],[级别]]=E120,A120+1,10001+表3_3246[[#This Row],[级别]]*100))</f>
        <v>20901</v>
      </c>
      <c r="B121" s="3" t="s">
        <v>425</v>
      </c>
      <c r="C121" s="3" t="s">
        <v>142</v>
      </c>
      <c r="D121" s="3" t="s">
        <v>78</v>
      </c>
      <c r="E121" s="3">
        <v>109</v>
      </c>
      <c r="F121" s="3" t="s">
        <v>120</v>
      </c>
    </row>
    <row r="122" spans="1:6" x14ac:dyDescent="0.15">
      <c r="A122" s="20">
        <f>IF(表3_3246[[#This Row],[级别]]&gt;30000,表3_3246[[#This Row],[级别]],IF(表3_3246[[#This Row],[级别]]=E121,A121+1,10001+表3_3246[[#This Row],[级别]]*100))</f>
        <v>20902</v>
      </c>
      <c r="B122" s="3" t="s">
        <v>426</v>
      </c>
      <c r="C122" s="3" t="s">
        <v>143</v>
      </c>
      <c r="D122" s="3" t="s">
        <v>78</v>
      </c>
      <c r="E122" s="3">
        <v>109</v>
      </c>
      <c r="F122" s="3" t="s">
        <v>120</v>
      </c>
    </row>
    <row r="123" spans="1:6" x14ac:dyDescent="0.15">
      <c r="A123" s="20">
        <f>IF(表3_3246[[#This Row],[级别]]&gt;30000,表3_3246[[#This Row],[级别]],IF(表3_3246[[#This Row],[级别]]=E122,A122+1,10001+表3_3246[[#This Row],[级别]]*100))</f>
        <v>20903</v>
      </c>
      <c r="B123" s="3" t="s">
        <v>427</v>
      </c>
      <c r="C123" s="3" t="s">
        <v>142</v>
      </c>
      <c r="D123" s="3" t="s">
        <v>78</v>
      </c>
      <c r="E123" s="3">
        <v>109</v>
      </c>
      <c r="F123" s="3" t="s">
        <v>120</v>
      </c>
    </row>
    <row r="124" spans="1:6" x14ac:dyDescent="0.15">
      <c r="A124" s="20">
        <f>IF(表3_3246[[#This Row],[级别]]&gt;30000,表3_3246[[#This Row],[级别]],IF(表3_3246[[#This Row],[级别]]=E123,A123+1,10001+表3_3246[[#This Row],[级别]]*100))</f>
        <v>20904</v>
      </c>
      <c r="B124" s="3" t="s">
        <v>428</v>
      </c>
      <c r="C124" s="3" t="s">
        <v>143</v>
      </c>
      <c r="D124" s="3" t="s">
        <v>78</v>
      </c>
      <c r="E124" s="3">
        <v>109</v>
      </c>
      <c r="F124" s="3" t="s">
        <v>120</v>
      </c>
    </row>
    <row r="125" spans="1:6" x14ac:dyDescent="0.15">
      <c r="A125" s="20">
        <f>IF(表3_3246[[#This Row],[级别]]&gt;30000,表3_3246[[#This Row],[级别]],IF(表3_3246[[#This Row],[级别]]=E124,A124+1,10001+表3_3246[[#This Row],[级别]]*100))</f>
        <v>30045</v>
      </c>
      <c r="B125" s="3" t="s">
        <v>118</v>
      </c>
      <c r="C125" s="3" t="s">
        <v>142</v>
      </c>
      <c r="D125" s="3" t="s">
        <v>78</v>
      </c>
      <c r="E125" s="3">
        <v>30045</v>
      </c>
      <c r="F125" s="3" t="s">
        <v>120</v>
      </c>
    </row>
    <row r="126" spans="1:6" x14ac:dyDescent="0.15">
      <c r="A126" s="20">
        <f>IF(表3_3246[[#This Row],[级别]]&gt;30000,表3_3246[[#This Row],[级别]],IF(表3_3246[[#This Row],[级别]]=E125,A125+1,10001+表3_3246[[#This Row],[级别]]*100))</f>
        <v>21001</v>
      </c>
      <c r="B126" s="3" t="s">
        <v>429</v>
      </c>
      <c r="C126" s="3" t="s">
        <v>143</v>
      </c>
      <c r="D126" s="3" t="s">
        <v>78</v>
      </c>
      <c r="E126" s="3">
        <v>110</v>
      </c>
      <c r="F126" s="3" t="s">
        <v>120</v>
      </c>
    </row>
    <row r="127" spans="1:6" x14ac:dyDescent="0.15">
      <c r="A127" s="20">
        <f>IF(表3_3246[[#This Row],[级别]]&gt;30000,表3_3246[[#This Row],[级别]],IF(表3_3246[[#This Row],[级别]]=E126,A126+1,10001+表3_3246[[#This Row],[级别]]*100))</f>
        <v>21002</v>
      </c>
      <c r="B127" s="3" t="s">
        <v>430</v>
      </c>
      <c r="C127" s="3" t="s">
        <v>142</v>
      </c>
      <c r="D127" s="3" t="s">
        <v>78</v>
      </c>
      <c r="E127" s="3">
        <v>110</v>
      </c>
      <c r="F127" s="3" t="s">
        <v>120</v>
      </c>
    </row>
    <row r="128" spans="1:6" x14ac:dyDescent="0.15">
      <c r="A128" s="20">
        <f>IF(表3_3246[[#This Row],[级别]]&gt;30000,表3_3246[[#This Row],[级别]],IF(表3_3246[[#This Row],[级别]]=E127,A127+1,10001+表3_3246[[#This Row],[级别]]*100))</f>
        <v>21003</v>
      </c>
      <c r="B128" s="3" t="s">
        <v>431</v>
      </c>
      <c r="C128" s="3" t="s">
        <v>143</v>
      </c>
      <c r="D128" s="3" t="s">
        <v>78</v>
      </c>
      <c r="E128" s="3">
        <v>110</v>
      </c>
      <c r="F128" s="3" t="s">
        <v>120</v>
      </c>
    </row>
    <row r="129" spans="1:6" x14ac:dyDescent="0.15">
      <c r="A129" s="20">
        <f>IF(表3_3246[[#This Row],[级别]]&gt;30000,表3_3246[[#This Row],[级别]],IF(表3_3246[[#This Row],[级别]]=E128,A128+1,10001+表3_3246[[#This Row],[级别]]*100))</f>
        <v>21004</v>
      </c>
      <c r="B129" s="3" t="s">
        <v>432</v>
      </c>
      <c r="C129" s="3" t="s">
        <v>142</v>
      </c>
      <c r="D129" s="3" t="s">
        <v>78</v>
      </c>
      <c r="E129" s="3">
        <v>110</v>
      </c>
      <c r="F129" s="3" t="s">
        <v>120</v>
      </c>
    </row>
    <row r="130" spans="1:6" x14ac:dyDescent="0.15">
      <c r="A130" s="20">
        <f>IF(表3_3246[[#This Row],[级别]]&gt;30000,表3_3246[[#This Row],[级别]],IF(表3_3246[[#This Row],[级别]]=E129,A129+1,10001+表3_3246[[#This Row],[级别]]*100))</f>
        <v>30050</v>
      </c>
      <c r="B130" s="3" t="s">
        <v>119</v>
      </c>
      <c r="C130" s="3" t="s">
        <v>143</v>
      </c>
      <c r="D130" s="3" t="s">
        <v>78</v>
      </c>
      <c r="E130" s="3">
        <v>30050</v>
      </c>
      <c r="F130" s="3" t="s">
        <v>120</v>
      </c>
    </row>
    <row r="131" spans="1:6" x14ac:dyDescent="0.15">
      <c r="A131" s="20">
        <f>IF(表3_3246[[#This Row],[级别]]&gt;30000,表3_3246[[#This Row],[级别]],IF(表3_3246[[#This Row],[级别]]=E130,A130+1,10001+表3_3246[[#This Row],[级别]]*100))</f>
        <v>21101</v>
      </c>
      <c r="B131" s="3" t="s">
        <v>461</v>
      </c>
      <c r="C131" s="3" t="s">
        <v>142</v>
      </c>
      <c r="D131" s="3" t="s">
        <v>78</v>
      </c>
      <c r="E131" s="3">
        <v>111</v>
      </c>
      <c r="F131" s="3" t="s">
        <v>120</v>
      </c>
    </row>
    <row r="132" spans="1:6" x14ac:dyDescent="0.15">
      <c r="A132" s="20">
        <f>IF(表3_3246[[#This Row],[级别]]&gt;30000,表3_3246[[#This Row],[级别]],IF(表3_3246[[#This Row],[级别]]=E131,A131+1,10001+表3_3246[[#This Row],[级别]]*100))</f>
        <v>21102</v>
      </c>
      <c r="B132" s="3" t="s">
        <v>462</v>
      </c>
      <c r="C132" s="3" t="s">
        <v>143</v>
      </c>
      <c r="D132" s="3" t="s">
        <v>78</v>
      </c>
      <c r="E132" s="3">
        <v>111</v>
      </c>
      <c r="F132" s="3" t="s">
        <v>120</v>
      </c>
    </row>
    <row r="133" spans="1:6" x14ac:dyDescent="0.15">
      <c r="A133" s="20">
        <f>IF(表3_3246[[#This Row],[级别]]&gt;30000,表3_3246[[#This Row],[级别]],IF(表3_3246[[#This Row],[级别]]=E132,A132+1,10001+表3_3246[[#This Row],[级别]]*100))</f>
        <v>21103</v>
      </c>
      <c r="B133" s="3" t="s">
        <v>463</v>
      </c>
      <c r="C133" s="3" t="s">
        <v>142</v>
      </c>
      <c r="D133" s="3" t="s">
        <v>78</v>
      </c>
      <c r="E133" s="3">
        <v>111</v>
      </c>
      <c r="F133" s="3" t="s">
        <v>120</v>
      </c>
    </row>
    <row r="134" spans="1:6" x14ac:dyDescent="0.15">
      <c r="A134" s="20">
        <f>IF(表3_3246[[#This Row],[级别]]&gt;30000,表3_3246[[#This Row],[级别]],IF(表3_3246[[#This Row],[级别]]=E133,A133+1,10001+表3_3246[[#This Row],[级别]]*100))</f>
        <v>21104</v>
      </c>
      <c r="B134" s="3" t="s">
        <v>464</v>
      </c>
      <c r="C134" s="3" t="s">
        <v>143</v>
      </c>
      <c r="D134" s="3" t="s">
        <v>78</v>
      </c>
      <c r="E134" s="3">
        <v>111</v>
      </c>
      <c r="F134" s="3" t="s">
        <v>120</v>
      </c>
    </row>
    <row r="135" spans="1:6" x14ac:dyDescent="0.15">
      <c r="A135" s="20">
        <f>IF(表3_3246[[#This Row],[级别]]&gt;30000,表3_3246[[#This Row],[级别]],IF(表3_3246[[#This Row],[级别]]=E134,A134+1,10001+表3_3246[[#This Row],[级别]]*100))</f>
        <v>30055</v>
      </c>
      <c r="B135" s="3" t="s">
        <v>468</v>
      </c>
      <c r="C135" s="3" t="s">
        <v>142</v>
      </c>
      <c r="D135" s="3" t="s">
        <v>78</v>
      </c>
      <c r="E135" s="3">
        <v>30055</v>
      </c>
      <c r="F135" s="3" t="s">
        <v>120</v>
      </c>
    </row>
    <row r="136" spans="1:6" x14ac:dyDescent="0.15">
      <c r="A136" s="20">
        <f>IF(表3_3246[[#This Row],[级别]]&gt;30000,表3_3246[[#This Row],[级别]],IF(表3_3246[[#This Row],[级别]]=E135,A135+1,10001+表3_3246[[#This Row],[级别]]*100))</f>
        <v>21201</v>
      </c>
      <c r="B136" s="3" t="s">
        <v>433</v>
      </c>
      <c r="C136" s="3" t="s">
        <v>143</v>
      </c>
      <c r="D136" s="3" t="s">
        <v>78</v>
      </c>
      <c r="E136" s="3">
        <v>112</v>
      </c>
      <c r="F136" s="3" t="s">
        <v>120</v>
      </c>
    </row>
    <row r="137" spans="1:6" x14ac:dyDescent="0.15">
      <c r="A137" s="20">
        <f>IF(表3_3246[[#This Row],[级别]]&gt;30000,表3_3246[[#This Row],[级别]],IF(表3_3246[[#This Row],[级别]]=E136,A136+1,10001+表3_3246[[#This Row],[级别]]*100))</f>
        <v>21202</v>
      </c>
      <c r="B137" s="3" t="s">
        <v>465</v>
      </c>
      <c r="C137" s="3" t="s">
        <v>142</v>
      </c>
      <c r="D137" s="3" t="s">
        <v>78</v>
      </c>
      <c r="E137" s="3">
        <v>112</v>
      </c>
      <c r="F137" s="3" t="s">
        <v>120</v>
      </c>
    </row>
    <row r="138" spans="1:6" x14ac:dyDescent="0.15">
      <c r="A138" s="20">
        <f>IF(表3_3246[[#This Row],[级别]]&gt;30000,表3_3246[[#This Row],[级别]],IF(表3_3246[[#This Row],[级别]]=E137,A137+1,10001+表3_3246[[#This Row],[级别]]*100))</f>
        <v>21203</v>
      </c>
      <c r="B138" s="3" t="s">
        <v>466</v>
      </c>
      <c r="C138" s="3" t="s">
        <v>143</v>
      </c>
      <c r="D138" s="3" t="s">
        <v>78</v>
      </c>
      <c r="E138" s="3">
        <v>112</v>
      </c>
      <c r="F138" s="3" t="s">
        <v>120</v>
      </c>
    </row>
    <row r="139" spans="1:6" x14ac:dyDescent="0.15">
      <c r="A139" s="20">
        <f>IF(表3_3246[[#This Row],[级别]]&gt;30000,表3_3246[[#This Row],[级别]],IF(表3_3246[[#This Row],[级别]]=E138,A138+1,10001+表3_3246[[#This Row],[级别]]*100))</f>
        <v>21204</v>
      </c>
      <c r="B139" s="3" t="s">
        <v>467</v>
      </c>
      <c r="C139" s="3" t="s">
        <v>142</v>
      </c>
      <c r="D139" s="3" t="s">
        <v>78</v>
      </c>
      <c r="E139" s="3">
        <v>112</v>
      </c>
      <c r="F139" s="3" t="s">
        <v>120</v>
      </c>
    </row>
    <row r="140" spans="1:6" x14ac:dyDescent="0.15">
      <c r="A140" s="20">
        <f>IF(表3_3246[[#This Row],[级别]]&gt;30000,表3_3246[[#This Row],[级别]],IF(表3_3246[[#This Row],[级别]]=E139,A139+1,10001+表3_3246[[#This Row],[级别]]*100))</f>
        <v>30060</v>
      </c>
      <c r="B140" s="3" t="s">
        <v>469</v>
      </c>
      <c r="C140" s="3" t="s">
        <v>143</v>
      </c>
      <c r="D140" s="3" t="s">
        <v>78</v>
      </c>
      <c r="E140" s="3">
        <v>30060</v>
      </c>
      <c r="F140" s="3" t="s">
        <v>120</v>
      </c>
    </row>
    <row r="141" spans="1:6" x14ac:dyDescent="0.15">
      <c r="A141" s="20">
        <f>IF(表3_3246[[#This Row],[级别]]&gt;30000,表3_3246[[#This Row],[级别]],IF(表3_3246[[#This Row],[级别]]=E140,A140+1,10001+表3_3246[[#This Row],[级别]]*100))</f>
        <v>21301</v>
      </c>
      <c r="B141" s="3" t="s">
        <v>434</v>
      </c>
      <c r="C141" s="3" t="s">
        <v>142</v>
      </c>
      <c r="D141" s="3" t="s">
        <v>78</v>
      </c>
      <c r="E141" s="3">
        <v>113</v>
      </c>
      <c r="F141" s="3" t="s">
        <v>120</v>
      </c>
    </row>
    <row r="142" spans="1:6" x14ac:dyDescent="0.15">
      <c r="A142" s="20">
        <f>IF(表3_3246[[#This Row],[级别]]&gt;30000,表3_3246[[#This Row],[级别]],IF(表3_3246[[#This Row],[级别]]=E141,A141+1,10001+表3_3246[[#This Row],[级别]]*100))</f>
        <v>21302</v>
      </c>
      <c r="B142" s="3" t="s">
        <v>435</v>
      </c>
      <c r="C142" s="3" t="s">
        <v>143</v>
      </c>
      <c r="D142" s="3" t="s">
        <v>78</v>
      </c>
      <c r="E142" s="3">
        <v>113</v>
      </c>
      <c r="F142" s="3" t="s">
        <v>120</v>
      </c>
    </row>
    <row r="143" spans="1:6" x14ac:dyDescent="0.15">
      <c r="A143" s="20">
        <f>IF(表3_3246[[#This Row],[级别]]&gt;30000,表3_3246[[#This Row],[级别]],IF(表3_3246[[#This Row],[级别]]=E142,A142+1,10001+表3_3246[[#This Row],[级别]]*100))</f>
        <v>21303</v>
      </c>
      <c r="B143" s="3" t="s">
        <v>436</v>
      </c>
      <c r="C143" s="3" t="s">
        <v>142</v>
      </c>
      <c r="D143" s="3" t="s">
        <v>78</v>
      </c>
      <c r="E143" s="3">
        <v>113</v>
      </c>
      <c r="F143" s="3" t="s">
        <v>120</v>
      </c>
    </row>
    <row r="144" spans="1:6" x14ac:dyDescent="0.15">
      <c r="A144" s="20">
        <f>IF(表3_3246[[#This Row],[级别]]&gt;30000,表3_3246[[#This Row],[级别]],IF(表3_3246[[#This Row],[级别]]=E143,A143+1,10001+表3_3246[[#This Row],[级别]]*100))</f>
        <v>21304</v>
      </c>
      <c r="B144" s="3" t="s">
        <v>437</v>
      </c>
      <c r="C144" s="3" t="s">
        <v>143</v>
      </c>
      <c r="D144" s="3" t="s">
        <v>78</v>
      </c>
      <c r="E144" s="3">
        <v>113</v>
      </c>
      <c r="F144" s="3" t="s">
        <v>120</v>
      </c>
    </row>
    <row r="145" spans="1:6" x14ac:dyDescent="0.15">
      <c r="A145" s="20">
        <f>IF(表3_3246[[#This Row],[级别]]&gt;30000,表3_3246[[#This Row],[级别]],IF(表3_3246[[#This Row],[级别]]=E144,A144+1,10001+表3_3246[[#This Row],[级别]]*100))</f>
        <v>30065</v>
      </c>
      <c r="B145" s="3" t="s">
        <v>470</v>
      </c>
      <c r="C145" s="3" t="s">
        <v>142</v>
      </c>
      <c r="D145" s="3" t="s">
        <v>78</v>
      </c>
      <c r="E145" s="3">
        <v>30065</v>
      </c>
      <c r="F145" s="3" t="s">
        <v>120</v>
      </c>
    </row>
    <row r="146" spans="1:6" x14ac:dyDescent="0.15">
      <c r="A146" s="20">
        <f>IF(表3_3246[[#This Row],[级别]]&gt;30000,表3_3246[[#This Row],[级别]],IF(表3_3246[[#This Row],[级别]]=E145,A145+1,10001+表3_3246[[#This Row],[级别]]*100))</f>
        <v>21401</v>
      </c>
      <c r="B146" s="3" t="s">
        <v>438</v>
      </c>
      <c r="C146" s="3" t="s">
        <v>143</v>
      </c>
      <c r="D146" s="3" t="s">
        <v>78</v>
      </c>
      <c r="E146" s="3">
        <v>114</v>
      </c>
      <c r="F146" s="3" t="s">
        <v>120</v>
      </c>
    </row>
    <row r="147" spans="1:6" x14ac:dyDescent="0.15">
      <c r="A147" s="20">
        <f>IF(表3_3246[[#This Row],[级别]]&gt;30000,表3_3246[[#This Row],[级别]],IF(表3_3246[[#This Row],[级别]]=E146,A146+1,10001+表3_3246[[#This Row],[级别]]*100))</f>
        <v>21402</v>
      </c>
      <c r="B147" s="3" t="s">
        <v>439</v>
      </c>
      <c r="C147" s="3" t="s">
        <v>142</v>
      </c>
      <c r="D147" s="3" t="s">
        <v>78</v>
      </c>
      <c r="E147" s="3">
        <v>114</v>
      </c>
      <c r="F147" s="3" t="s">
        <v>120</v>
      </c>
    </row>
    <row r="148" spans="1:6" x14ac:dyDescent="0.15">
      <c r="A148" s="20">
        <f>IF(表3_3246[[#This Row],[级别]]&gt;30000,表3_3246[[#This Row],[级别]],IF(表3_3246[[#This Row],[级别]]=E147,A147+1,10001+表3_3246[[#This Row],[级别]]*100))</f>
        <v>21403</v>
      </c>
      <c r="B148" s="3" t="s">
        <v>440</v>
      </c>
      <c r="C148" s="3" t="s">
        <v>143</v>
      </c>
      <c r="D148" s="3" t="s">
        <v>78</v>
      </c>
      <c r="E148" s="3">
        <v>114</v>
      </c>
      <c r="F148" s="3" t="s">
        <v>120</v>
      </c>
    </row>
    <row r="149" spans="1:6" x14ac:dyDescent="0.15">
      <c r="A149" s="20">
        <f>IF(表3_3246[[#This Row],[级别]]&gt;30000,表3_3246[[#This Row],[级别]],IF(表3_3246[[#This Row],[级别]]=E148,A148+1,10001+表3_3246[[#This Row],[级别]]*100))</f>
        <v>21404</v>
      </c>
      <c r="B149" s="3" t="s">
        <v>441</v>
      </c>
      <c r="C149" s="3" t="s">
        <v>142</v>
      </c>
      <c r="D149" s="3" t="s">
        <v>78</v>
      </c>
      <c r="E149" s="3">
        <v>114</v>
      </c>
      <c r="F149" s="3" t="s">
        <v>120</v>
      </c>
    </row>
    <row r="150" spans="1:6" x14ac:dyDescent="0.15">
      <c r="A150" s="20">
        <f>IF(表3_3246[[#This Row],[级别]]&gt;30000,表3_3246[[#This Row],[级别]],IF(表3_3246[[#This Row],[级别]]=E149,A149+1,10001+表3_3246[[#This Row],[级别]]*100))</f>
        <v>30070</v>
      </c>
      <c r="B150" s="3" t="s">
        <v>471</v>
      </c>
      <c r="C150" s="3" t="s">
        <v>143</v>
      </c>
      <c r="D150" s="3" t="s">
        <v>78</v>
      </c>
      <c r="E150" s="3">
        <v>30070</v>
      </c>
      <c r="F150" s="3" t="s">
        <v>120</v>
      </c>
    </row>
    <row r="151" spans="1:6" x14ac:dyDescent="0.15">
      <c r="A151" s="20">
        <f>IF(表3_3246[[#This Row],[级别]]&gt;30000,表3_3246[[#This Row],[级别]],IF(表3_3246[[#This Row],[级别]]=E150,A150+1,10001+表3_3246[[#This Row],[级别]]*100))</f>
        <v>21501</v>
      </c>
      <c r="B151" s="3" t="s">
        <v>442</v>
      </c>
      <c r="C151" s="3" t="s">
        <v>142</v>
      </c>
      <c r="D151" s="3" t="s">
        <v>78</v>
      </c>
      <c r="E151" s="3">
        <v>115</v>
      </c>
      <c r="F151" s="3" t="s">
        <v>120</v>
      </c>
    </row>
    <row r="152" spans="1:6" x14ac:dyDescent="0.15">
      <c r="A152" s="20">
        <f>IF(表3_3246[[#This Row],[级别]]&gt;30000,表3_3246[[#This Row],[级别]],IF(表3_3246[[#This Row],[级别]]=E151,A151+1,10001+表3_3246[[#This Row],[级别]]*100))</f>
        <v>21502</v>
      </c>
      <c r="B152" s="3" t="s">
        <v>443</v>
      </c>
      <c r="C152" s="3" t="s">
        <v>143</v>
      </c>
      <c r="D152" s="3" t="s">
        <v>78</v>
      </c>
      <c r="E152" s="3">
        <v>115</v>
      </c>
      <c r="F152" s="3" t="s">
        <v>120</v>
      </c>
    </row>
    <row r="153" spans="1:6" x14ac:dyDescent="0.15">
      <c r="A153" s="20">
        <f>IF(表3_3246[[#This Row],[级别]]&gt;30000,表3_3246[[#This Row],[级别]],IF(表3_3246[[#This Row],[级别]]=E152,A152+1,10001+表3_3246[[#This Row],[级别]]*100))</f>
        <v>21503</v>
      </c>
      <c r="B153" s="3" t="s">
        <v>444</v>
      </c>
      <c r="C153" s="3" t="s">
        <v>142</v>
      </c>
      <c r="D153" s="3" t="s">
        <v>78</v>
      </c>
      <c r="E153" s="3">
        <v>115</v>
      </c>
      <c r="F153" s="3" t="s">
        <v>120</v>
      </c>
    </row>
    <row r="154" spans="1:6" x14ac:dyDescent="0.15">
      <c r="A154" s="20">
        <f>IF(表3_3246[[#This Row],[级别]]&gt;30000,表3_3246[[#This Row],[级别]],IF(表3_3246[[#This Row],[级别]]=E153,A153+1,10001+表3_3246[[#This Row],[级别]]*100))</f>
        <v>21504</v>
      </c>
      <c r="B154" s="3" t="s">
        <v>445</v>
      </c>
      <c r="C154" s="3" t="s">
        <v>143</v>
      </c>
      <c r="D154" s="3" t="s">
        <v>78</v>
      </c>
      <c r="E154" s="3">
        <v>115</v>
      </c>
      <c r="F154" s="3" t="s">
        <v>120</v>
      </c>
    </row>
    <row r="155" spans="1:6" x14ac:dyDescent="0.15">
      <c r="A155" s="20">
        <f>IF(表3_3246[[#This Row],[级别]]&gt;30000,表3_3246[[#This Row],[级别]],IF(表3_3246[[#This Row],[级别]]=E154,A154+1,10001+表3_3246[[#This Row],[级别]]*100))</f>
        <v>30075</v>
      </c>
      <c r="B155" s="3" t="s">
        <v>472</v>
      </c>
      <c r="C155" s="3" t="s">
        <v>142</v>
      </c>
      <c r="D155" s="3" t="s">
        <v>78</v>
      </c>
      <c r="E155" s="3">
        <v>30075</v>
      </c>
      <c r="F155" s="3" t="s">
        <v>120</v>
      </c>
    </row>
    <row r="156" spans="1:6" x14ac:dyDescent="0.15">
      <c r="A156" s="20">
        <f>IF(表3_3246[[#This Row],[级别]]&gt;30000,表3_3246[[#This Row],[级别]],IF(表3_3246[[#This Row],[级别]]=E155,A155+1,10001+表3_3246[[#This Row],[级别]]*100))</f>
        <v>21601</v>
      </c>
      <c r="B156" s="3" t="s">
        <v>446</v>
      </c>
      <c r="C156" s="3" t="s">
        <v>143</v>
      </c>
      <c r="D156" s="3" t="s">
        <v>78</v>
      </c>
      <c r="E156" s="3">
        <v>116</v>
      </c>
      <c r="F156" s="3" t="s">
        <v>120</v>
      </c>
    </row>
    <row r="157" spans="1:6" x14ac:dyDescent="0.15">
      <c r="A157" s="20">
        <f>IF(表3_3246[[#This Row],[级别]]&gt;30000,表3_3246[[#This Row],[级别]],IF(表3_3246[[#This Row],[级别]]=E156,A156+1,10001+表3_3246[[#This Row],[级别]]*100))</f>
        <v>21602</v>
      </c>
      <c r="B157" s="3" t="s">
        <v>447</v>
      </c>
      <c r="C157" s="3" t="s">
        <v>142</v>
      </c>
      <c r="D157" s="3" t="s">
        <v>78</v>
      </c>
      <c r="E157" s="3">
        <v>116</v>
      </c>
      <c r="F157" s="3" t="s">
        <v>120</v>
      </c>
    </row>
    <row r="158" spans="1:6" x14ac:dyDescent="0.15">
      <c r="A158" s="20">
        <f>IF(表3_3246[[#This Row],[级别]]&gt;30000,表3_3246[[#This Row],[级别]],IF(表3_3246[[#This Row],[级别]]=E157,A157+1,10001+表3_3246[[#This Row],[级别]]*100))</f>
        <v>21603</v>
      </c>
      <c r="B158" s="3" t="s">
        <v>448</v>
      </c>
      <c r="C158" s="3" t="s">
        <v>143</v>
      </c>
      <c r="D158" s="3" t="s">
        <v>78</v>
      </c>
      <c r="E158" s="3">
        <v>116</v>
      </c>
      <c r="F158" s="3" t="s">
        <v>120</v>
      </c>
    </row>
    <row r="159" spans="1:6" x14ac:dyDescent="0.15">
      <c r="A159" s="20">
        <f>IF(表3_3246[[#This Row],[级别]]&gt;30000,表3_3246[[#This Row],[级别]],IF(表3_3246[[#This Row],[级别]]=E158,A158+1,10001+表3_3246[[#This Row],[级别]]*100))</f>
        <v>21604</v>
      </c>
      <c r="B159" s="3" t="s">
        <v>449</v>
      </c>
      <c r="C159" s="3" t="s">
        <v>142</v>
      </c>
      <c r="D159" s="3" t="s">
        <v>78</v>
      </c>
      <c r="E159" s="3">
        <v>116</v>
      </c>
      <c r="F159" s="3" t="s">
        <v>120</v>
      </c>
    </row>
    <row r="160" spans="1:6" x14ac:dyDescent="0.15">
      <c r="A160" s="20">
        <f>IF(表3_3246[[#This Row],[级别]]&gt;30000,表3_3246[[#This Row],[级别]],IF(表3_3246[[#This Row],[级别]]=E159,A159+1,10001+表3_3246[[#This Row],[级别]]*100))</f>
        <v>30080</v>
      </c>
      <c r="B160" s="3" t="s">
        <v>473</v>
      </c>
      <c r="C160" s="3" t="s">
        <v>143</v>
      </c>
      <c r="D160" s="3" t="s">
        <v>78</v>
      </c>
      <c r="E160" s="3">
        <v>30080</v>
      </c>
      <c r="F160" s="3" t="s">
        <v>120</v>
      </c>
    </row>
    <row r="161" spans="1:6" x14ac:dyDescent="0.15">
      <c r="A161" s="20">
        <f>IF(表3_3246[[#This Row],[级别]]&gt;30000,表3_3246[[#This Row],[级别]],IF(表3_3246[[#This Row],[级别]]=E160,A160+1,10001+表3_3246[[#This Row],[级别]]*100))</f>
        <v>21701</v>
      </c>
      <c r="B161" s="3" t="s">
        <v>450</v>
      </c>
      <c r="C161" s="3" t="s">
        <v>142</v>
      </c>
      <c r="D161" s="3" t="s">
        <v>78</v>
      </c>
      <c r="E161" s="3">
        <v>117</v>
      </c>
      <c r="F161" s="3" t="s">
        <v>120</v>
      </c>
    </row>
    <row r="162" spans="1:6" x14ac:dyDescent="0.15">
      <c r="A162" s="20">
        <f>IF(表3_3246[[#This Row],[级别]]&gt;30000,表3_3246[[#This Row],[级别]],IF(表3_3246[[#This Row],[级别]]=E161,A161+1,10001+表3_3246[[#This Row],[级别]]*100))</f>
        <v>21702</v>
      </c>
      <c r="B162" s="3" t="s">
        <v>451</v>
      </c>
      <c r="C162" s="3" t="s">
        <v>143</v>
      </c>
      <c r="D162" s="3" t="s">
        <v>78</v>
      </c>
      <c r="E162" s="3">
        <v>117</v>
      </c>
      <c r="F162" s="3" t="s">
        <v>120</v>
      </c>
    </row>
    <row r="163" spans="1:6" x14ac:dyDescent="0.15">
      <c r="A163" s="20">
        <f>IF(表3_3246[[#This Row],[级别]]&gt;30000,表3_3246[[#This Row],[级别]],IF(表3_3246[[#This Row],[级别]]=E162,A162+1,10001+表3_3246[[#This Row],[级别]]*100))</f>
        <v>21703</v>
      </c>
      <c r="B163" s="3" t="s">
        <v>452</v>
      </c>
      <c r="C163" s="3" t="s">
        <v>142</v>
      </c>
      <c r="D163" s="3" t="s">
        <v>78</v>
      </c>
      <c r="E163" s="3">
        <v>117</v>
      </c>
      <c r="F163" s="3" t="s">
        <v>120</v>
      </c>
    </row>
    <row r="164" spans="1:6" x14ac:dyDescent="0.15">
      <c r="A164" s="20">
        <f>IF(表3_3246[[#This Row],[级别]]&gt;30000,表3_3246[[#This Row],[级别]],IF(表3_3246[[#This Row],[级别]]=E163,A163+1,10001+表3_3246[[#This Row],[级别]]*100))</f>
        <v>21704</v>
      </c>
      <c r="B164" s="3" t="s">
        <v>453</v>
      </c>
      <c r="C164" s="3" t="s">
        <v>143</v>
      </c>
      <c r="D164" s="3" t="s">
        <v>78</v>
      </c>
      <c r="E164" s="3">
        <v>117</v>
      </c>
      <c r="F164" s="3" t="s">
        <v>120</v>
      </c>
    </row>
    <row r="165" spans="1:6" x14ac:dyDescent="0.15">
      <c r="A165" s="20">
        <f>IF(表3_3246[[#This Row],[级别]]&gt;30000,表3_3246[[#This Row],[级别]],IF(表3_3246[[#This Row],[级别]]=E164,A164+1,10001+表3_3246[[#This Row],[级别]]*100))</f>
        <v>30085</v>
      </c>
      <c r="B165" s="3" t="s">
        <v>474</v>
      </c>
      <c r="C165" s="3" t="s">
        <v>142</v>
      </c>
      <c r="D165" s="3" t="s">
        <v>78</v>
      </c>
      <c r="E165" s="3">
        <v>30085</v>
      </c>
      <c r="F165" s="3" t="s">
        <v>120</v>
      </c>
    </row>
    <row r="166" spans="1:6" x14ac:dyDescent="0.15">
      <c r="A166" s="20">
        <f>IF(表3_3246[[#This Row],[级别]]&gt;30000,表3_3246[[#This Row],[级别]],IF(表3_3246[[#This Row],[级别]]=E165,A165+1,10001+表3_3246[[#This Row],[级别]]*100))</f>
        <v>21801</v>
      </c>
      <c r="B166" s="3" t="s">
        <v>454</v>
      </c>
      <c r="C166" s="3" t="s">
        <v>143</v>
      </c>
      <c r="D166" s="3" t="s">
        <v>78</v>
      </c>
      <c r="E166" s="3">
        <v>118</v>
      </c>
      <c r="F166" s="3" t="s">
        <v>120</v>
      </c>
    </row>
    <row r="167" spans="1:6" x14ac:dyDescent="0.15">
      <c r="A167" s="20">
        <f>IF(表3_3246[[#This Row],[级别]]&gt;30000,表3_3246[[#This Row],[级别]],IF(表3_3246[[#This Row],[级别]]=E166,A166+1,10001+表3_3246[[#This Row],[级别]]*100))</f>
        <v>21802</v>
      </c>
      <c r="B167" s="3" t="s">
        <v>455</v>
      </c>
      <c r="C167" s="3" t="s">
        <v>142</v>
      </c>
      <c r="D167" s="3" t="s">
        <v>78</v>
      </c>
      <c r="E167" s="3">
        <v>118</v>
      </c>
      <c r="F167" s="3" t="s">
        <v>120</v>
      </c>
    </row>
    <row r="168" spans="1:6" x14ac:dyDescent="0.15">
      <c r="A168" s="20">
        <f>IF(表3_3246[[#This Row],[级别]]&gt;30000,表3_3246[[#This Row],[级别]],IF(表3_3246[[#This Row],[级别]]=E167,A167+1,10001+表3_3246[[#This Row],[级别]]*100))</f>
        <v>21803</v>
      </c>
      <c r="B168" s="3" t="s">
        <v>456</v>
      </c>
      <c r="C168" s="3" t="s">
        <v>143</v>
      </c>
      <c r="D168" s="3" t="s">
        <v>78</v>
      </c>
      <c r="E168" s="3">
        <v>118</v>
      </c>
      <c r="F168" s="3" t="s">
        <v>120</v>
      </c>
    </row>
    <row r="169" spans="1:6" x14ac:dyDescent="0.15">
      <c r="A169" s="20">
        <f>IF(表3_3246[[#This Row],[级别]]&gt;30000,表3_3246[[#This Row],[级别]],IF(表3_3246[[#This Row],[级别]]=E168,A168+1,10001+表3_3246[[#This Row],[级别]]*100))</f>
        <v>21804</v>
      </c>
      <c r="B169" s="3" t="s">
        <v>457</v>
      </c>
      <c r="C169" s="3" t="s">
        <v>142</v>
      </c>
      <c r="D169" s="3" t="s">
        <v>78</v>
      </c>
      <c r="E169" s="3">
        <v>118</v>
      </c>
      <c r="F169" s="3" t="s">
        <v>120</v>
      </c>
    </row>
    <row r="170" spans="1:6" x14ac:dyDescent="0.15">
      <c r="A170" s="20">
        <f>IF(表3_3246[[#This Row],[级别]]&gt;30000,表3_3246[[#This Row],[级别]],IF(表3_3246[[#This Row],[级别]]=E169,A169+1,10001+表3_3246[[#This Row],[级别]]*100))</f>
        <v>30090</v>
      </c>
      <c r="B170" s="3" t="s">
        <v>475</v>
      </c>
      <c r="C170" s="3" t="s">
        <v>143</v>
      </c>
      <c r="D170" s="3" t="s">
        <v>78</v>
      </c>
      <c r="E170" s="3">
        <v>30090</v>
      </c>
      <c r="F170" s="3" t="s">
        <v>120</v>
      </c>
    </row>
    <row r="171" spans="1:6" x14ac:dyDescent="0.15">
      <c r="A171" s="20">
        <f>IF(表3_3246[[#This Row],[级别]]&gt;30000,表3_3246[[#This Row],[级别]],IF(表3_3246[[#This Row],[级别]]=E170,A170+1,10001+表3_3246[[#This Row],[级别]]*100))</f>
        <v>21901</v>
      </c>
      <c r="B171" s="3" t="s">
        <v>251</v>
      </c>
      <c r="C171" s="3" t="s">
        <v>142</v>
      </c>
      <c r="D171" s="3" t="s">
        <v>78</v>
      </c>
      <c r="E171" s="3">
        <v>119</v>
      </c>
      <c r="F171" s="3"/>
    </row>
    <row r="172" spans="1:6" x14ac:dyDescent="0.15">
      <c r="A172" s="20">
        <f>IF(表3_3246[[#This Row],[级别]]&gt;30000,表3_3246[[#This Row],[级别]],IF(表3_3246[[#This Row],[级别]]=E171,A171+1,10001+表3_3246[[#This Row],[级别]]*100))</f>
        <v>21902</v>
      </c>
      <c r="B172" s="3" t="s">
        <v>288</v>
      </c>
      <c r="C172" s="3" t="s">
        <v>143</v>
      </c>
      <c r="D172" s="3" t="s">
        <v>78</v>
      </c>
      <c r="E172" s="3">
        <v>119</v>
      </c>
      <c r="F172" s="3"/>
    </row>
    <row r="173" spans="1:6" x14ac:dyDescent="0.15">
      <c r="A173" s="20">
        <f>IF(表3_3246[[#This Row],[级别]]&gt;30000,表3_3246[[#This Row],[级别]],IF(表3_3246[[#This Row],[级别]]=E172,A172+1,10001+表3_3246[[#This Row],[级别]]*100))</f>
        <v>21903</v>
      </c>
      <c r="B173" s="3" t="s">
        <v>289</v>
      </c>
      <c r="C173" s="3" t="s">
        <v>142</v>
      </c>
      <c r="D173" s="3" t="s">
        <v>78</v>
      </c>
      <c r="E173" s="3">
        <v>119</v>
      </c>
      <c r="F173" s="3"/>
    </row>
    <row r="174" spans="1:6" x14ac:dyDescent="0.15">
      <c r="A174" s="20">
        <f>IF(表3_3246[[#This Row],[级别]]&gt;30000,表3_3246[[#This Row],[级别]],IF(表3_3246[[#This Row],[级别]]=E173,A173+1,10001+表3_3246[[#This Row],[级别]]*100))</f>
        <v>21904</v>
      </c>
      <c r="B174" s="3" t="s">
        <v>290</v>
      </c>
      <c r="C174" s="3" t="s">
        <v>143</v>
      </c>
      <c r="D174" s="3" t="s">
        <v>78</v>
      </c>
      <c r="E174" s="3">
        <v>119</v>
      </c>
      <c r="F174" s="3"/>
    </row>
    <row r="175" spans="1:6" x14ac:dyDescent="0.15">
      <c r="A175" s="20">
        <f>IF(表3_3246[[#This Row],[级别]]&gt;30000,表3_3246[[#This Row],[级别]],IF(表3_3246[[#This Row],[级别]]=E174,A174+1,10001+表3_3246[[#This Row],[级别]]*100))</f>
        <v>21905</v>
      </c>
      <c r="B175" s="3" t="s">
        <v>291</v>
      </c>
      <c r="C175" s="3" t="s">
        <v>142</v>
      </c>
      <c r="D175" s="3" t="s">
        <v>78</v>
      </c>
      <c r="E175" s="3">
        <v>119</v>
      </c>
      <c r="F175" s="3"/>
    </row>
    <row r="176" spans="1:6" x14ac:dyDescent="0.15">
      <c r="A176" s="20">
        <f>IF(表3_3246[[#This Row],[级别]]&gt;30000,表3_3246[[#This Row],[级别]],IF(表3_3246[[#This Row],[级别]]=E175,A175+1,10001+表3_3246[[#This Row],[级别]]*100))</f>
        <v>22001</v>
      </c>
      <c r="B176" s="3" t="s">
        <v>292</v>
      </c>
      <c r="C176" s="3" t="s">
        <v>143</v>
      </c>
      <c r="D176" s="3" t="s">
        <v>78</v>
      </c>
      <c r="E176" s="3">
        <v>120</v>
      </c>
      <c r="F176" s="3"/>
    </row>
    <row r="177" spans="1:6" x14ac:dyDescent="0.15">
      <c r="A177" s="20">
        <f>IF(表3_3246[[#This Row],[级别]]&gt;30000,表3_3246[[#This Row],[级别]],IF(表3_3246[[#This Row],[级别]]=E176,A176+1,10001+表3_3246[[#This Row],[级别]]*100))</f>
        <v>22002</v>
      </c>
      <c r="B177" s="3" t="s">
        <v>252</v>
      </c>
      <c r="C177" s="3" t="s">
        <v>142</v>
      </c>
      <c r="D177" s="3" t="s">
        <v>78</v>
      </c>
      <c r="E177" s="3">
        <v>120</v>
      </c>
      <c r="F177" s="3"/>
    </row>
    <row r="178" spans="1:6" x14ac:dyDescent="0.15">
      <c r="A178" s="20">
        <f>IF(表3_3246[[#This Row],[级别]]&gt;30000,表3_3246[[#This Row],[级别]],IF(表3_3246[[#This Row],[级别]]=E177,A177+1,10001+表3_3246[[#This Row],[级别]]*100))</f>
        <v>22003</v>
      </c>
      <c r="B178" s="3" t="s">
        <v>293</v>
      </c>
      <c r="C178" s="3" t="s">
        <v>143</v>
      </c>
      <c r="D178" s="3" t="s">
        <v>78</v>
      </c>
      <c r="E178" s="3">
        <v>120</v>
      </c>
      <c r="F178" s="3"/>
    </row>
    <row r="179" spans="1:6" x14ac:dyDescent="0.15">
      <c r="A179" s="20">
        <f>IF(表3_3246[[#This Row],[级别]]&gt;30000,表3_3246[[#This Row],[级别]],IF(表3_3246[[#This Row],[级别]]=E178,A178+1,10001+表3_3246[[#This Row],[级别]]*100))</f>
        <v>22004</v>
      </c>
      <c r="B179" s="3" t="s">
        <v>294</v>
      </c>
      <c r="C179" s="3" t="s">
        <v>142</v>
      </c>
      <c r="D179" s="3" t="s">
        <v>78</v>
      </c>
      <c r="E179" s="3">
        <v>120</v>
      </c>
      <c r="F179" s="3"/>
    </row>
    <row r="180" spans="1:6" x14ac:dyDescent="0.15">
      <c r="A180" s="20">
        <f>IF(表3_3246[[#This Row],[级别]]&gt;30000,表3_3246[[#This Row],[级别]],IF(表3_3246[[#This Row],[级别]]=E179,A179+1,10001+表3_3246[[#This Row],[级别]]*100))</f>
        <v>22005</v>
      </c>
      <c r="B180" s="3" t="s">
        <v>295</v>
      </c>
      <c r="C180" s="3" t="s">
        <v>143</v>
      </c>
      <c r="D180" s="3" t="s">
        <v>78</v>
      </c>
      <c r="E180" s="3">
        <v>120</v>
      </c>
      <c r="F180" s="3"/>
    </row>
    <row r="181" spans="1:6" x14ac:dyDescent="0.15">
      <c r="A181" s="20">
        <f>IF(表3_3246[[#This Row],[级别]]&gt;30000,表3_3246[[#This Row],[级别]],IF(表3_3246[[#This Row],[级别]]=E180,A180+1,10001+表3_3246[[#This Row],[级别]]*100))</f>
        <v>22101</v>
      </c>
      <c r="B181" s="3" t="s">
        <v>296</v>
      </c>
      <c r="C181" s="3" t="s">
        <v>142</v>
      </c>
      <c r="D181" s="3" t="s">
        <v>78</v>
      </c>
      <c r="E181" s="3">
        <v>121</v>
      </c>
      <c r="F181" s="3"/>
    </row>
    <row r="182" spans="1:6" x14ac:dyDescent="0.15">
      <c r="A182" s="20">
        <f>IF(表3_3246[[#This Row],[级别]]&gt;30000,表3_3246[[#This Row],[级别]],IF(表3_3246[[#This Row],[级别]]=E181,A181+1,10001+表3_3246[[#This Row],[级别]]*100))</f>
        <v>22102</v>
      </c>
      <c r="B182" s="3" t="s">
        <v>297</v>
      </c>
      <c r="C182" s="3" t="s">
        <v>143</v>
      </c>
      <c r="D182" s="3" t="s">
        <v>78</v>
      </c>
      <c r="E182" s="3">
        <v>121</v>
      </c>
      <c r="F182" s="3"/>
    </row>
    <row r="183" spans="1:6" x14ac:dyDescent="0.15">
      <c r="A183" s="20">
        <f>IF(表3_3246[[#This Row],[级别]]&gt;30000,表3_3246[[#This Row],[级别]],IF(表3_3246[[#This Row],[级别]]=E182,A182+1,10001+表3_3246[[#This Row],[级别]]*100))</f>
        <v>22103</v>
      </c>
      <c r="B183" s="3" t="s">
        <v>253</v>
      </c>
      <c r="C183" s="3" t="s">
        <v>142</v>
      </c>
      <c r="D183" s="3" t="s">
        <v>78</v>
      </c>
      <c r="E183" s="3">
        <v>121</v>
      </c>
      <c r="F183" s="3"/>
    </row>
    <row r="184" spans="1:6" x14ac:dyDescent="0.15">
      <c r="A184" s="20">
        <f>IF(表3_3246[[#This Row],[级别]]&gt;30000,表3_3246[[#This Row],[级别]],IF(表3_3246[[#This Row],[级别]]=E183,A183+1,10001+表3_3246[[#This Row],[级别]]*100))</f>
        <v>22104</v>
      </c>
      <c r="B184" s="3" t="s">
        <v>298</v>
      </c>
      <c r="C184" s="3" t="s">
        <v>143</v>
      </c>
      <c r="D184" s="3" t="s">
        <v>78</v>
      </c>
      <c r="E184" s="3">
        <v>121</v>
      </c>
      <c r="F184" s="3"/>
    </row>
    <row r="185" spans="1:6" x14ac:dyDescent="0.15">
      <c r="A185" s="20">
        <f>IF(表3_3246[[#This Row],[级别]]&gt;30000,表3_3246[[#This Row],[级别]],IF(表3_3246[[#This Row],[级别]]=E184,A184+1,10001+表3_3246[[#This Row],[级别]]*100))</f>
        <v>22105</v>
      </c>
      <c r="B185" s="3" t="s">
        <v>299</v>
      </c>
      <c r="C185" s="3" t="s">
        <v>142</v>
      </c>
      <c r="D185" s="3" t="s">
        <v>78</v>
      </c>
      <c r="E185" s="3">
        <v>121</v>
      </c>
      <c r="F185" s="3"/>
    </row>
    <row r="186" spans="1:6" x14ac:dyDescent="0.15">
      <c r="A186" s="20">
        <f>IF(表3_3246[[#This Row],[级别]]&gt;30000,表3_3246[[#This Row],[级别]],IF(表3_3246[[#This Row],[级别]]=E185,A185+1,10001+表3_3246[[#This Row],[级别]]*100))</f>
        <v>22201</v>
      </c>
      <c r="B186" s="3" t="s">
        <v>300</v>
      </c>
      <c r="C186" s="3" t="s">
        <v>143</v>
      </c>
      <c r="D186" s="3" t="s">
        <v>78</v>
      </c>
      <c r="E186" s="3">
        <v>122</v>
      </c>
      <c r="F186" s="3"/>
    </row>
    <row r="187" spans="1:6" x14ac:dyDescent="0.15">
      <c r="A187" s="20">
        <f>IF(表3_3246[[#This Row],[级别]]&gt;30000,表3_3246[[#This Row],[级别]],IF(表3_3246[[#This Row],[级别]]=E186,A186+1,10001+表3_3246[[#This Row],[级别]]*100))</f>
        <v>22202</v>
      </c>
      <c r="B187" s="3" t="s">
        <v>301</v>
      </c>
      <c r="C187" s="3" t="s">
        <v>142</v>
      </c>
      <c r="D187" s="3" t="s">
        <v>78</v>
      </c>
      <c r="E187" s="3">
        <v>122</v>
      </c>
      <c r="F187" s="3"/>
    </row>
    <row r="188" spans="1:6" x14ac:dyDescent="0.15">
      <c r="A188" s="20">
        <f>IF(表3_3246[[#This Row],[级别]]&gt;30000,表3_3246[[#This Row],[级别]],IF(表3_3246[[#This Row],[级别]]=E187,A187+1,10001+表3_3246[[#This Row],[级别]]*100))</f>
        <v>22203</v>
      </c>
      <c r="B188" s="3" t="s">
        <v>302</v>
      </c>
      <c r="C188" s="3" t="s">
        <v>143</v>
      </c>
      <c r="D188" s="3" t="s">
        <v>78</v>
      </c>
      <c r="E188" s="3">
        <v>122</v>
      </c>
      <c r="F188" s="3"/>
    </row>
    <row r="189" spans="1:6" x14ac:dyDescent="0.15">
      <c r="A189" s="20">
        <f>IF(表3_3246[[#This Row],[级别]]&gt;30000,表3_3246[[#This Row],[级别]],IF(表3_3246[[#This Row],[级别]]=E188,A188+1,10001+表3_3246[[#This Row],[级别]]*100))</f>
        <v>22204</v>
      </c>
      <c r="B189" s="3" t="s">
        <v>254</v>
      </c>
      <c r="C189" s="3" t="s">
        <v>142</v>
      </c>
      <c r="D189" s="3" t="s">
        <v>78</v>
      </c>
      <c r="E189" s="3">
        <v>122</v>
      </c>
      <c r="F189" s="3"/>
    </row>
    <row r="190" spans="1:6" x14ac:dyDescent="0.15">
      <c r="A190" s="20">
        <f>IF(表3_3246[[#This Row],[级别]]&gt;30000,表3_3246[[#This Row],[级别]],IF(表3_3246[[#This Row],[级别]]=E189,A189+1,10001+表3_3246[[#This Row],[级别]]*100))</f>
        <v>22205</v>
      </c>
      <c r="B190" s="3" t="s">
        <v>303</v>
      </c>
      <c r="C190" s="3" t="s">
        <v>143</v>
      </c>
      <c r="D190" s="3" t="s">
        <v>78</v>
      </c>
      <c r="E190" s="3">
        <v>122</v>
      </c>
      <c r="F190" s="3"/>
    </row>
    <row r="191" spans="1:6" x14ac:dyDescent="0.15">
      <c r="A191" s="20">
        <f>IF(表3_3246[[#This Row],[级别]]&gt;30000,表3_3246[[#This Row],[级别]],IF(表3_3246[[#This Row],[级别]]=E190,A190+1,10001+表3_3246[[#This Row],[级别]]*100))</f>
        <v>22301</v>
      </c>
      <c r="B191" s="3" t="s">
        <v>304</v>
      </c>
      <c r="C191" s="3" t="s">
        <v>142</v>
      </c>
      <c r="D191" s="3" t="s">
        <v>78</v>
      </c>
      <c r="E191" s="3">
        <v>123</v>
      </c>
      <c r="F191" s="3"/>
    </row>
    <row r="192" spans="1:6" x14ac:dyDescent="0.15">
      <c r="A192" s="20">
        <f>IF(表3_3246[[#This Row],[级别]]&gt;30000,表3_3246[[#This Row],[级别]],IF(表3_3246[[#This Row],[级别]]=E191,A191+1,10001+表3_3246[[#This Row],[级别]]*100))</f>
        <v>22302</v>
      </c>
      <c r="B192" s="3" t="s">
        <v>305</v>
      </c>
      <c r="C192" s="3" t="s">
        <v>143</v>
      </c>
      <c r="D192" s="3" t="s">
        <v>78</v>
      </c>
      <c r="E192" s="3">
        <v>123</v>
      </c>
      <c r="F192" s="3"/>
    </row>
    <row r="193" spans="1:6" x14ac:dyDescent="0.15">
      <c r="A193" s="20">
        <f>IF(表3_3246[[#This Row],[级别]]&gt;30000,表3_3246[[#This Row],[级别]],IF(表3_3246[[#This Row],[级别]]=E192,A192+1,10001+表3_3246[[#This Row],[级别]]*100))</f>
        <v>22303</v>
      </c>
      <c r="B193" s="3" t="s">
        <v>255</v>
      </c>
      <c r="C193" s="3" t="s">
        <v>142</v>
      </c>
      <c r="D193" s="3" t="s">
        <v>78</v>
      </c>
      <c r="E193" s="3">
        <v>123</v>
      </c>
      <c r="F193" s="3"/>
    </row>
    <row r="194" spans="1:6" x14ac:dyDescent="0.15">
      <c r="A194" s="20">
        <f>IF(表3_3246[[#This Row],[级别]]&gt;30000,表3_3246[[#This Row],[级别]],IF(表3_3246[[#This Row],[级别]]=E193,A193+1,10001+表3_3246[[#This Row],[级别]]*100))</f>
        <v>22304</v>
      </c>
      <c r="B194" s="3" t="s">
        <v>306</v>
      </c>
      <c r="C194" s="3" t="s">
        <v>143</v>
      </c>
      <c r="D194" s="3" t="s">
        <v>78</v>
      </c>
      <c r="E194" s="3">
        <v>123</v>
      </c>
      <c r="F194" s="3"/>
    </row>
    <row r="195" spans="1:6" x14ac:dyDescent="0.15">
      <c r="A195" s="20">
        <f>IF(表3_3246[[#This Row],[级别]]&gt;30000,表3_3246[[#This Row],[级别]],IF(表3_3246[[#This Row],[级别]]=E194,A194+1,10001+表3_3246[[#This Row],[级别]]*100))</f>
        <v>22305</v>
      </c>
      <c r="B195" s="3" t="s">
        <v>307</v>
      </c>
      <c r="C195" s="3" t="s">
        <v>142</v>
      </c>
      <c r="D195" s="3" t="s">
        <v>78</v>
      </c>
      <c r="E195" s="3">
        <v>123</v>
      </c>
      <c r="F195" s="3"/>
    </row>
    <row r="196" spans="1:6" x14ac:dyDescent="0.15">
      <c r="A196" s="20">
        <f>IF(表3_3246[[#This Row],[级别]]&gt;30000,表3_3246[[#This Row],[级别]],IF(表3_3246[[#This Row],[级别]]=E195,A195+1,10001+表3_3246[[#This Row],[级别]]*100))</f>
        <v>22401</v>
      </c>
      <c r="B196" s="3" t="s">
        <v>308</v>
      </c>
      <c r="C196" s="3" t="s">
        <v>143</v>
      </c>
      <c r="D196" s="3" t="s">
        <v>78</v>
      </c>
      <c r="E196" s="3">
        <v>124</v>
      </c>
      <c r="F196" s="3"/>
    </row>
    <row r="197" spans="1:6" x14ac:dyDescent="0.15">
      <c r="A197" s="20">
        <f>IF(表3_3246[[#This Row],[级别]]&gt;30000,表3_3246[[#This Row],[级别]],IF(表3_3246[[#This Row],[级别]]=E196,A196+1,10001+表3_3246[[#This Row],[级别]]*100))</f>
        <v>22402</v>
      </c>
      <c r="B197" s="3" t="s">
        <v>309</v>
      </c>
      <c r="C197" s="3" t="s">
        <v>142</v>
      </c>
      <c r="D197" s="3" t="s">
        <v>78</v>
      </c>
      <c r="E197" s="3">
        <v>124</v>
      </c>
      <c r="F197" s="3"/>
    </row>
    <row r="198" spans="1:6" x14ac:dyDescent="0.15">
      <c r="A198" s="20">
        <f>IF(表3_3246[[#This Row],[级别]]&gt;30000,表3_3246[[#This Row],[级别]],IF(表3_3246[[#This Row],[级别]]=E197,A197+1,10001+表3_3246[[#This Row],[级别]]*100))</f>
        <v>22403</v>
      </c>
      <c r="B198" s="3" t="s">
        <v>310</v>
      </c>
      <c r="C198" s="3" t="s">
        <v>143</v>
      </c>
      <c r="D198" s="3" t="s">
        <v>78</v>
      </c>
      <c r="E198" s="3">
        <v>124</v>
      </c>
      <c r="F198" s="3"/>
    </row>
    <row r="199" spans="1:6" x14ac:dyDescent="0.15">
      <c r="A199" s="20">
        <f>IF(表3_3246[[#This Row],[级别]]&gt;30000,表3_3246[[#This Row],[级别]],IF(表3_3246[[#This Row],[级别]]=E198,A198+1,10001+表3_3246[[#This Row],[级别]]*100))</f>
        <v>22404</v>
      </c>
      <c r="B199" s="3" t="s">
        <v>311</v>
      </c>
      <c r="C199" s="3" t="s">
        <v>142</v>
      </c>
      <c r="D199" s="3" t="s">
        <v>78</v>
      </c>
      <c r="E199" s="3">
        <v>124</v>
      </c>
      <c r="F199" s="3"/>
    </row>
    <row r="200" spans="1:6" x14ac:dyDescent="0.15">
      <c r="A200" s="20">
        <f>IF(表3_3246[[#This Row],[级别]]&gt;30000,表3_3246[[#This Row],[级别]],IF(表3_3246[[#This Row],[级别]]=E199,A199+1,10001+表3_3246[[#This Row],[级别]]*100))</f>
        <v>22405</v>
      </c>
      <c r="B200" s="3" t="s">
        <v>256</v>
      </c>
      <c r="C200" s="3" t="s">
        <v>143</v>
      </c>
      <c r="D200" s="3" t="s">
        <v>78</v>
      </c>
      <c r="E200" s="3">
        <v>124</v>
      </c>
      <c r="F200" s="3"/>
    </row>
  </sheetData>
  <phoneticPr fontId="5" type="noConversion"/>
  <dataValidations count="1">
    <dataValidation allowBlank="1" showInputMessage="1" showErrorMessage="1" prompt="17 锁定_x000a_18 冰冻_x000a_19 召唤_x000a_20 冰冻女神快被攻击的时候的冰冻_x000a_21 激光" sqref="D3" xr:uid="{00000000-0002-0000-0400-000000000000}"/>
  </dataValidations>
  <pageMargins left="0.69930555555555596" right="0.69930555555555596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B7"/>
  <sheetViews>
    <sheetView workbookViewId="0">
      <selection activeCell="F43" sqref="F43"/>
    </sheetView>
  </sheetViews>
  <sheetFormatPr defaultColWidth="9" defaultRowHeight="13.5" x14ac:dyDescent="0.15"/>
  <cols>
    <col min="1" max="1" width="9" customWidth="1"/>
    <col min="2" max="2" width="30" customWidth="1"/>
  </cols>
  <sheetData>
    <row r="1" spans="1:2" ht="16.5" x14ac:dyDescent="0.3">
      <c r="A1" s="1" t="s">
        <v>29</v>
      </c>
      <c r="B1" s="1" t="s">
        <v>93</v>
      </c>
    </row>
    <row r="2" spans="1:2" ht="16.5" x14ac:dyDescent="0.15">
      <c r="A2" s="2" t="s">
        <v>39</v>
      </c>
      <c r="B2" s="2" t="s">
        <v>40</v>
      </c>
    </row>
    <row r="3" spans="1:2" x14ac:dyDescent="0.15">
      <c r="A3" s="3" t="s">
        <v>94</v>
      </c>
      <c r="B3" s="3" t="s">
        <v>95</v>
      </c>
    </row>
    <row r="4" spans="1:2" x14ac:dyDescent="0.15">
      <c r="A4" s="3">
        <v>1</v>
      </c>
      <c r="B4" s="4" t="s">
        <v>96</v>
      </c>
    </row>
    <row r="5" spans="1:2" x14ac:dyDescent="0.15">
      <c r="A5">
        <v>2</v>
      </c>
      <c r="B5" s="4" t="s">
        <v>96</v>
      </c>
    </row>
    <row r="6" spans="1:2" x14ac:dyDescent="0.15">
      <c r="A6" s="3">
        <v>3</v>
      </c>
      <c r="B6" s="4" t="s">
        <v>96</v>
      </c>
    </row>
    <row r="7" spans="1:2" x14ac:dyDescent="0.15">
      <c r="A7">
        <v>4</v>
      </c>
      <c r="B7" s="4" t="s">
        <v>96</v>
      </c>
    </row>
  </sheetData>
  <phoneticPr fontId="5" type="noConversion"/>
  <pageMargins left="0.69930555555555596" right="0.69930555555555596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11"/>
  <sheetViews>
    <sheetView workbookViewId="0">
      <selection activeCell="C9" sqref="C9"/>
    </sheetView>
  </sheetViews>
  <sheetFormatPr defaultRowHeight="13.5" x14ac:dyDescent="0.15"/>
  <cols>
    <col min="1" max="1" width="17.5" customWidth="1"/>
    <col min="2" max="2" width="14.25" bestFit="1" customWidth="1"/>
    <col min="3" max="3" width="31.625" bestFit="1" customWidth="1"/>
  </cols>
  <sheetData>
    <row r="1" spans="1:3" ht="16.5" x14ac:dyDescent="0.3">
      <c r="A1" s="1" t="s">
        <v>247</v>
      </c>
      <c r="B1" s="5" t="s">
        <v>314</v>
      </c>
      <c r="C1" s="5" t="s">
        <v>248</v>
      </c>
    </row>
    <row r="2" spans="1:3" ht="16.5" x14ac:dyDescent="0.15">
      <c r="A2" s="2" t="s">
        <v>313</v>
      </c>
      <c r="B2" s="2" t="s">
        <v>313</v>
      </c>
      <c r="C2" s="2" t="s">
        <v>249</v>
      </c>
    </row>
    <row r="3" spans="1:3" x14ac:dyDescent="0.15">
      <c r="A3" s="3" t="s">
        <v>384</v>
      </c>
      <c r="B3" s="3" t="s">
        <v>312</v>
      </c>
      <c r="C3" s="3" t="s">
        <v>250</v>
      </c>
    </row>
    <row r="4" spans="1:3" x14ac:dyDescent="0.15">
      <c r="A4" s="20">
        <v>1</v>
      </c>
      <c r="B4" s="20">
        <v>60</v>
      </c>
      <c r="C4" s="19" t="s">
        <v>522</v>
      </c>
    </row>
    <row r="5" spans="1:3" x14ac:dyDescent="0.15">
      <c r="A5" s="20">
        <v>2</v>
      </c>
      <c r="B5" s="20">
        <v>60</v>
      </c>
      <c r="C5" s="19" t="s">
        <v>522</v>
      </c>
    </row>
    <row r="6" spans="1:3" x14ac:dyDescent="0.15">
      <c r="A6" s="20">
        <v>3</v>
      </c>
      <c r="B6" s="20">
        <v>60</v>
      </c>
      <c r="C6" s="19" t="s">
        <v>522</v>
      </c>
    </row>
    <row r="7" spans="1:3" x14ac:dyDescent="0.15">
      <c r="A7" s="20">
        <v>10</v>
      </c>
      <c r="B7" s="20">
        <v>55</v>
      </c>
      <c r="C7" s="19" t="s">
        <v>522</v>
      </c>
    </row>
    <row r="8" spans="1:3" x14ac:dyDescent="0.15">
      <c r="A8" s="20">
        <v>30</v>
      </c>
      <c r="B8" s="20">
        <v>55</v>
      </c>
      <c r="C8" s="19" t="s">
        <v>522</v>
      </c>
    </row>
    <row r="9" spans="1:3" x14ac:dyDescent="0.15">
      <c r="A9" s="20">
        <v>100</v>
      </c>
      <c r="B9" s="20">
        <v>50</v>
      </c>
      <c r="C9" s="19" t="s">
        <v>522</v>
      </c>
    </row>
    <row r="10" spans="1:3" x14ac:dyDescent="0.15">
      <c r="A10" s="20">
        <v>1000</v>
      </c>
      <c r="B10" s="20">
        <v>40</v>
      </c>
      <c r="C10" s="19" t="s">
        <v>522</v>
      </c>
    </row>
    <row r="11" spans="1:3" x14ac:dyDescent="0.15">
      <c r="A11" s="20">
        <v>10000</v>
      </c>
      <c r="B11" s="20">
        <v>20</v>
      </c>
      <c r="C11" s="19" t="s">
        <v>522</v>
      </c>
    </row>
  </sheetData>
  <phoneticPr fontId="5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description</vt:lpstr>
      <vt:lpstr>goddess_cfg</vt:lpstr>
      <vt:lpstr>goddessup_cfg</vt:lpstr>
      <vt:lpstr>defend_cfg</vt:lpstr>
      <vt:lpstr>fishborn_cfg</vt:lpstr>
      <vt:lpstr>interact_cfg</vt:lpstr>
      <vt:lpstr>rankreward_cfg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2017-11-29T08:33:38Z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2052-10.1.0.6393</vt:lpwstr>
  </property>
</Properties>
</file>