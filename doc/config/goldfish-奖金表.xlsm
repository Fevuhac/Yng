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F:\fishjoy_design\data_table_js-越南版\"/>
    </mc:Choice>
  </mc:AlternateContent>
  <bookViews>
    <workbookView xWindow="0" yWindow="0" windowWidth="28695" windowHeight="14850" activeTab="2" xr2:uid="{00000000-000D-0000-FFFF-FFFF00000000}"/>
  </bookViews>
  <sheets>
    <sheet name="description" sheetId="1" r:id="rId1"/>
    <sheet name="goldlevel_cfg" sheetId="2" r:id="rId2"/>
    <sheet name="goldfish_cfg" sheetId="3" r:id="rId3"/>
  </sheets>
  <functionGroups builtInGroupCount="19"/>
  <externalReferences>
    <externalReference r:id="rId4"/>
  </externalReferences>
  <calcPr calcId="171027"/>
</workbook>
</file>

<file path=xl/calcChain.xml><?xml version="1.0" encoding="utf-8"?>
<calcChain xmlns="http://schemas.openxmlformats.org/spreadsheetml/2006/main">
  <c r="R7" i="3" l="1"/>
  <c r="R2" i="3" l="1"/>
  <c r="R3" i="3"/>
  <c r="R4" i="3"/>
  <c r="R5" i="3"/>
  <c r="R6" i="3"/>
  <c r="L2" i="3"/>
  <c r="M2" i="3"/>
  <c r="N2" i="3"/>
  <c r="O2" i="3"/>
  <c r="P2" i="3"/>
  <c r="Q2" i="3"/>
  <c r="O3" i="3"/>
  <c r="P3" i="3"/>
  <c r="Q3" i="3"/>
  <c r="O4" i="3"/>
  <c r="P4" i="3"/>
  <c r="Q4" i="3"/>
  <c r="O5" i="3"/>
  <c r="P5" i="3"/>
  <c r="Q5" i="3"/>
  <c r="L6" i="3"/>
  <c r="M6" i="3"/>
  <c r="N6" i="3"/>
  <c r="O6" i="3"/>
  <c r="P6" i="3"/>
  <c r="Q6" i="3"/>
  <c r="L7" i="3"/>
  <c r="N7" i="3" s="1"/>
  <c r="M7" i="3"/>
  <c r="O7" i="3"/>
  <c r="P7" i="3"/>
  <c r="Q7" i="3" s="1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</calcChain>
</file>

<file path=xl/sharedStrings.xml><?xml version="1.0" encoding="utf-8"?>
<sst xmlns="http://schemas.openxmlformats.org/spreadsheetml/2006/main" count="120" uniqueCount="46">
  <si>
    <t>字段名</t>
  </si>
  <si>
    <t>英文、小写、下划线分隔单词。如'weanpon_name'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</si>
  <si>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</si>
  <si>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</si>
  <si>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</si>
  <si>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</si>
  <si>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</si>
  <si>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</si>
  <si>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</si>
  <si>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</si>
  <si>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fish_cfg——fish相关参数配置。</t>
  </si>
  <si>
    <t>int</t>
  </si>
  <si>
    <t>抽奖等级</t>
    <phoneticPr fontId="3" type="noConversion"/>
  </si>
  <si>
    <t>奖金鱼数量</t>
    <phoneticPr fontId="3" type="noConversion"/>
  </si>
  <si>
    <t>奖金数量</t>
    <phoneticPr fontId="3" type="noConversion"/>
  </si>
  <si>
    <t>goldfishcount</t>
    <phoneticPr fontId="3" type="noConversion"/>
  </si>
  <si>
    <t>goldcount</t>
    <phoneticPr fontId="3" type="noConversion"/>
  </si>
  <si>
    <t>道具编号</t>
    <phoneticPr fontId="3" type="noConversion"/>
  </si>
  <si>
    <t>道具ID</t>
    <phoneticPr fontId="3" type="noConversion"/>
  </si>
  <si>
    <t>道具数量</t>
    <phoneticPr fontId="3" type="noConversion"/>
  </si>
  <si>
    <t>道具概率</t>
    <phoneticPr fontId="3" type="noConversion"/>
  </si>
  <si>
    <t>i002</t>
    <phoneticPr fontId="3" type="noConversion"/>
  </si>
  <si>
    <t>goldlevel</t>
    <phoneticPr fontId="3" type="noConversion"/>
  </si>
  <si>
    <t>item</t>
    <phoneticPr fontId="3" type="noConversion"/>
  </si>
  <si>
    <t>item_id</t>
    <phoneticPr fontId="3" type="noConversion"/>
  </si>
  <si>
    <t>item_count</t>
    <phoneticPr fontId="3" type="noConversion"/>
  </si>
  <si>
    <t>item_probability</t>
    <phoneticPr fontId="3" type="noConversion"/>
  </si>
  <si>
    <t>string</t>
    <phoneticPr fontId="3" type="noConversion"/>
  </si>
  <si>
    <t>i012</t>
    <phoneticPr fontId="3" type="noConversion"/>
  </si>
  <si>
    <t>i013</t>
    <phoneticPr fontId="3" type="noConversion"/>
  </si>
  <si>
    <t>i001</t>
    <phoneticPr fontId="3" type="noConversion"/>
  </si>
  <si>
    <t>i015</t>
    <phoneticPr fontId="3" type="noConversion"/>
  </si>
  <si>
    <t>i016</t>
    <phoneticPr fontId="3" type="noConversion"/>
  </si>
  <si>
    <t>列1</t>
  </si>
  <si>
    <t>unexport</t>
  </si>
  <si>
    <t>第几次必中</t>
    <phoneticPr fontId="3" type="noConversion"/>
  </si>
  <si>
    <t>[]</t>
    <phoneticPr fontId="3" type="noConversion"/>
  </si>
  <si>
    <t>[1,2,4,6]</t>
    <phoneticPr fontId="3" type="noConversion"/>
  </si>
  <si>
    <t>充值</t>
    <phoneticPr fontId="3" type="noConversion"/>
  </si>
  <si>
    <t>已抽话费</t>
    <phoneticPr fontId="3" type="noConversion"/>
  </si>
  <si>
    <t>可用充值</t>
    <phoneticPr fontId="3" type="noConversion"/>
  </si>
  <si>
    <t>可用话费</t>
    <phoneticPr fontId="3" type="noConversion"/>
  </si>
  <si>
    <t>当前加成</t>
    <phoneticPr fontId="3" type="noConversion"/>
  </si>
  <si>
    <t>额度</t>
    <phoneticPr fontId="3" type="noConversion"/>
  </si>
  <si>
    <t>加成</t>
    <phoneticPr fontId="3" type="noConversion"/>
  </si>
  <si>
    <t>i011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</si>
</sst>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indexed="8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">
    <xf numFmtId="0" fontId="0" fillId="0" borderId="0" xfId="0">
      <alignment vertical="center"/>
    </xf>
    <xf numFmtId="49" fontId="1" fillId="2" borderId="1" xfId="1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1" fillId="4" borderId="1" xfId="1" applyFont="1" applyFill="1" applyBorder="1" applyAlignment="1" applyProtection="1">
      <alignment horizontal="center"/>
    </xf>
    <xf numFmtId="0" fontId="2" fillId="0" borderId="0" xfId="1" applyAlignment="1"/>
    <xf numFmtId="49" fontId="1" fillId="3" borderId="2" xfId="1" applyNumberFormat="1" applyFont="1" applyFill="1" applyBorder="1" applyAlignment="1">
      <alignment horizontal="center" vertical="center"/>
    </xf>
    <xf numFmtId="0" fontId="1" fillId="5" borderId="3" xfId="1" applyNumberFormat="1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/>
    <xf numFmtId="0" fontId="0" fillId="0" borderId="4" xfId="0" applyBorder="1">
      <alignment vertical="center"/>
    </xf>
    <xf numFmtId="49" fontId="5" fillId="2" borderId="1" xfId="0" applyNumberFormat="1" applyFont="1" applyFill="1" applyBorder="1" applyAlignment="1">
      <alignment horizontal="center"/>
    </xf>
    <xf numFmtId="49" fontId="5" fillId="3" borderId="2" xfId="0" applyNumberFormat="1" applyFont="1" applyFill="1" applyBorder="1" applyAlignment="1">
      <alignment horizontal="center" vertical="center"/>
    </xf>
    <xf numFmtId="49" fontId="1" fillId="2" borderId="1" xfId="1" applyNumberFormat="1" applyFont="1" applyFill="1" applyBorder="1" applyAlignment="1">
      <alignment horizontal="right"/>
    </xf>
    <xf numFmtId="49" fontId="1" fillId="3" borderId="2" xfId="0" applyNumberFormat="1" applyFont="1" applyFill="1" applyBorder="1" applyAlignment="1">
      <alignment horizontal="right" vertical="center"/>
    </xf>
    <xf numFmtId="0" fontId="0" fillId="0" borderId="0" xfId="0" applyNumberFormat="1">
      <alignment vertical="center"/>
    </xf>
    <xf numFmtId="0" fontId="2" fillId="0" borderId="0" xfId="1" applyNumberFormat="1" applyAlignment="1"/>
    <xf numFmtId="0" fontId="2" fillId="0" borderId="0" xfId="1" applyNumberFormat="1" applyAlignment="1">
      <alignment vertical="top" wrapText="1"/>
    </xf>
    <xf numFmtId="0" fontId="2" fillId="0" borderId="0" xfId="1" applyNumberFormat="1" applyAlignment="1">
      <alignment vertical="top"/>
    </xf>
  </cellXfs>
  <cellStyles count="2">
    <cellStyle name="常规" xfId="0" builtinId="0"/>
    <cellStyle name="常规 2" xfId="1" xr:uid="{00000000-0005-0000-0000-000001000000}"/>
  </cellStyles>
  <dxfs count="5">
    <dxf>
      <numFmt numFmtId="0" formatCode="General"/>
    </dxf>
    <dxf>
      <border outline="0">
        <left style="thin">
          <color auto="1"/>
        </left>
        <right style="thin">
          <color auto="1"/>
        </right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</border>
    </dxf>
    <dxf>
      <border outline="0">
        <bottom style="thin">
          <color auto="1"/>
        </bottom>
      </border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28575</xdr:rowOff>
    </xdr:from>
    <xdr:to>
      <xdr:col>0</xdr:col>
      <xdr:colOff>371475</xdr:colOff>
      <xdr:row>1</xdr:row>
      <xdr:rowOff>190500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75613F56-26E6-4A74-B959-30AB4886F14E}"/>
            </a:ext>
          </a:extLst>
        </xdr:cNvPr>
        <xdr:cNvSpPr/>
      </xdr:nvSpPr>
      <xdr:spPr>
        <a:xfrm>
          <a:off x="19050" y="28575"/>
          <a:ext cx="3524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-&#29289;&#21697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itemtype_cfg"/>
      <sheetName val="item_cfg"/>
      <sheetName val="mix_cfg"/>
    </sheetNames>
    <sheetDataSet>
      <sheetData sheetId="0"/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3:C9" totalsRowShown="0" headerRowBorderDxfId="4" tableBorderDxfId="3">
  <autoFilter ref="A3:C9" xr:uid="{00000000-0009-0000-0100-000001000000}"/>
  <tableColumns count="3">
    <tableColumn id="1" xr3:uid="{00000000-0010-0000-0000-000001000000}" name="抽奖等级"/>
    <tableColumn id="2" xr3:uid="{00000000-0010-0000-0000-000002000000}" name="奖金鱼数量"/>
    <tableColumn id="3" xr3:uid="{00000000-0010-0000-0000-000003000000}" name="奖金数量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2" displayName="表2" ref="A3:G39" totalsRowShown="0" headerRowBorderDxfId="2" tableBorderDxfId="1">
  <autoFilter ref="A3:G39" xr:uid="{00000000-0009-0000-0100-000002000000}"/>
  <tableColumns count="7">
    <tableColumn id="1" xr3:uid="{00000000-0010-0000-0100-000001000000}" name="抽奖等级"/>
    <tableColumn id="2" xr3:uid="{00000000-0010-0000-0100-000002000000}" name="道具编号"/>
    <tableColumn id="3" xr3:uid="{00000000-0010-0000-0100-000003000000}" name="道具ID"/>
    <tableColumn id="4" xr3:uid="{00000000-0010-0000-0100-000004000000}" name="道具数量"/>
    <tableColumn id="5" xr3:uid="{00000000-0010-0000-0100-000005000000}" name="道具概率"/>
    <tableColumn id="7" xr3:uid="{E12A2A9B-744E-4A48-879A-E71A4834FF4D}" name="第几次必中"/>
    <tableColumn id="6" xr3:uid="{00000000-0010-0000-0100-000006000000}" name="列1" dataDxfId="0">
      <calculatedColumnFormula>VLOOKUP(表2[[#This Row],[道具ID]],[1]!表1[[key值]:[名称]],12,FALSE)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5"/>
  <sheetViews>
    <sheetView workbookViewId="0">
      <selection activeCell="A6" sqref="A6:B23"/>
    </sheetView>
  </sheetViews>
  <sheetFormatPr defaultColWidth="9" defaultRowHeight="13.5" x14ac:dyDescent="0.15"/>
  <cols>
    <col min="1" max="2" width="80.625" customWidth="1"/>
  </cols>
  <sheetData>
    <row r="1" spans="1:2" ht="16.5" x14ac:dyDescent="0.3">
      <c r="A1" s="1" t="s">
        <v>0</v>
      </c>
      <c r="B1" s="4" t="s">
        <v>1</v>
      </c>
    </row>
    <row r="2" spans="1:2" ht="16.5" x14ac:dyDescent="0.15">
      <c r="A2" s="5" t="s">
        <v>2</v>
      </c>
      <c r="B2" s="4" t="s">
        <v>3</v>
      </c>
    </row>
    <row r="3" spans="1:2" ht="16.5" x14ac:dyDescent="0.3">
      <c r="A3" s="3" t="s">
        <v>4</v>
      </c>
      <c r="B3" s="4" t="s">
        <v>5</v>
      </c>
    </row>
    <row r="4" spans="1:2" ht="16.5" x14ac:dyDescent="0.15">
      <c r="A4" s="6" t="s">
        <v>6</v>
      </c>
      <c r="B4" s="4" t="s">
        <v>7</v>
      </c>
    </row>
    <row r="5" spans="1:2" x14ac:dyDescent="0.15">
      <c r="A5" s="4"/>
      <c r="B5" s="4"/>
    </row>
    <row r="6" spans="1:2" x14ac:dyDescent="0.15">
      <c r="A6" s="16" t="s">
        <v>8</v>
      </c>
      <c r="B6" s="17"/>
    </row>
    <row r="7" spans="1:2" x14ac:dyDescent="0.15">
      <c r="A7" s="17"/>
      <c r="B7" s="17"/>
    </row>
    <row r="8" spans="1:2" x14ac:dyDescent="0.15">
      <c r="A8" s="17"/>
      <c r="B8" s="17"/>
    </row>
    <row r="9" spans="1:2" x14ac:dyDescent="0.15">
      <c r="A9" s="17"/>
      <c r="B9" s="17"/>
    </row>
    <row r="10" spans="1:2" x14ac:dyDescent="0.15">
      <c r="A10" s="17"/>
      <c r="B10" s="17"/>
    </row>
    <row r="11" spans="1:2" x14ac:dyDescent="0.15">
      <c r="A11" s="17"/>
      <c r="B11" s="17"/>
    </row>
    <row r="12" spans="1:2" x14ac:dyDescent="0.15">
      <c r="A12" s="17"/>
      <c r="B12" s="17"/>
    </row>
    <row r="13" spans="1:2" x14ac:dyDescent="0.15">
      <c r="A13" s="17"/>
      <c r="B13" s="17"/>
    </row>
    <row r="14" spans="1:2" x14ac:dyDescent="0.15">
      <c r="A14" s="17"/>
      <c r="B14" s="17"/>
    </row>
    <row r="15" spans="1:2" x14ac:dyDescent="0.15">
      <c r="A15" s="17"/>
      <c r="B15" s="17"/>
    </row>
    <row r="16" spans="1:2" x14ac:dyDescent="0.15">
      <c r="A16" s="17"/>
      <c r="B16" s="17"/>
    </row>
    <row r="17" spans="1:2" x14ac:dyDescent="0.15">
      <c r="A17" s="17"/>
      <c r="B17" s="17"/>
    </row>
    <row r="18" spans="1:2" x14ac:dyDescent="0.15">
      <c r="A18" s="17"/>
      <c r="B18" s="17"/>
    </row>
    <row r="19" spans="1:2" x14ac:dyDescent="0.15">
      <c r="A19" s="17"/>
      <c r="B19" s="17"/>
    </row>
    <row r="20" spans="1:2" x14ac:dyDescent="0.15">
      <c r="A20" s="17"/>
      <c r="B20" s="17"/>
    </row>
    <row r="21" spans="1:2" x14ac:dyDescent="0.15">
      <c r="A21" s="17"/>
      <c r="B21" s="17"/>
    </row>
    <row r="22" spans="1:2" x14ac:dyDescent="0.15">
      <c r="A22" s="17"/>
      <c r="B22" s="17"/>
    </row>
    <row r="23" spans="1:2" x14ac:dyDescent="0.15">
      <c r="A23" s="17"/>
      <c r="B23" s="17"/>
    </row>
    <row r="24" spans="1:2" x14ac:dyDescent="0.15">
      <c r="A24" s="15" t="s">
        <v>9</v>
      </c>
      <c r="B24" s="15"/>
    </row>
    <row r="25" spans="1:2" x14ac:dyDescent="0.15">
      <c r="A25" s="15" t="s">
        <v>10</v>
      </c>
      <c r="B25" s="15"/>
    </row>
  </sheetData>
  <mergeCells count="3">
    <mergeCell ref="A24:B24"/>
    <mergeCell ref="A25:B25"/>
    <mergeCell ref="A6:B23"/>
  </mergeCells>
  <phoneticPr fontId="3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9"/>
  <sheetViews>
    <sheetView workbookViewId="0">
      <selection activeCell="C9" sqref="C9"/>
    </sheetView>
  </sheetViews>
  <sheetFormatPr defaultColWidth="9" defaultRowHeight="13.5" x14ac:dyDescent="0.15"/>
  <cols>
    <col min="1" max="6" width="20.625" customWidth="1"/>
  </cols>
  <sheetData>
    <row r="1" spans="1:3" ht="16.5" x14ac:dyDescent="0.3">
      <c r="A1" s="1" t="s">
        <v>22</v>
      </c>
      <c r="B1" s="1" t="s">
        <v>15</v>
      </c>
      <c r="C1" s="1" t="s">
        <v>16</v>
      </c>
    </row>
    <row r="2" spans="1:3" ht="16.5" x14ac:dyDescent="0.15">
      <c r="A2" s="2" t="s">
        <v>11</v>
      </c>
      <c r="B2" s="2" t="s">
        <v>11</v>
      </c>
      <c r="C2" s="2" t="s">
        <v>11</v>
      </c>
    </row>
    <row r="3" spans="1:3" x14ac:dyDescent="0.15">
      <c r="A3" t="s">
        <v>12</v>
      </c>
      <c r="B3" t="s">
        <v>13</v>
      </c>
      <c r="C3" t="s">
        <v>14</v>
      </c>
    </row>
    <row r="4" spans="1:3" x14ac:dyDescent="0.15">
      <c r="A4">
        <v>1</v>
      </c>
      <c r="B4">
        <v>10</v>
      </c>
      <c r="C4">
        <v>10</v>
      </c>
    </row>
    <row r="5" spans="1:3" x14ac:dyDescent="0.15">
      <c r="A5">
        <v>2</v>
      </c>
      <c r="B5">
        <v>10</v>
      </c>
      <c r="C5">
        <v>25000</v>
      </c>
    </row>
    <row r="6" spans="1:3" x14ac:dyDescent="0.15">
      <c r="A6">
        <v>3</v>
      </c>
      <c r="B6">
        <v>10</v>
      </c>
      <c r="C6">
        <v>75000</v>
      </c>
    </row>
    <row r="7" spans="1:3" x14ac:dyDescent="0.15">
      <c r="A7">
        <v>4</v>
      </c>
      <c r="B7">
        <v>10</v>
      </c>
      <c r="C7">
        <v>250000</v>
      </c>
    </row>
    <row r="8" spans="1:3" x14ac:dyDescent="0.15">
      <c r="A8">
        <v>5</v>
      </c>
      <c r="B8">
        <v>10</v>
      </c>
      <c r="C8">
        <v>750000</v>
      </c>
    </row>
    <row r="9" spans="1:3" x14ac:dyDescent="0.15">
      <c r="A9">
        <v>6</v>
      </c>
      <c r="B9">
        <v>10</v>
      </c>
      <c r="C9">
        <v>2000000</v>
      </c>
    </row>
  </sheetData>
  <phoneticPr fontId="3" type="noConversion"/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39"/>
  <sheetViews>
    <sheetView tabSelected="1" workbookViewId="0">
      <selection activeCell="F14" sqref="F14"/>
    </sheetView>
  </sheetViews>
  <sheetFormatPr defaultColWidth="9" defaultRowHeight="13.5" x14ac:dyDescent="0.15"/>
  <cols>
    <col min="1" max="8" width="20.625" customWidth="1"/>
    <col min="9" max="9" width="8.25" customWidth="1"/>
    <col min="10" max="10" width="7.875" customWidth="1"/>
    <col min="18" max="18" width="8.125" style="14" customWidth="1"/>
    <col min="19" max="19" width="7.75" customWidth="1"/>
  </cols>
  <sheetData>
    <row r="1" spans="1:18" ht="17.25" x14ac:dyDescent="0.35">
      <c r="A1" s="12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0" t="s">
        <v>34</v>
      </c>
      <c r="G1" s="10" t="s">
        <v>34</v>
      </c>
      <c r="I1" s="7" t="s">
        <v>43</v>
      </c>
      <c r="J1" s="7" t="s">
        <v>38</v>
      </c>
      <c r="K1" s="7" t="s">
        <v>39</v>
      </c>
      <c r="L1" s="7" t="s">
        <v>40</v>
      </c>
      <c r="M1" s="7" t="s">
        <v>41</v>
      </c>
      <c r="N1" s="7" t="s">
        <v>42</v>
      </c>
      <c r="O1" s="7" t="s">
        <v>44</v>
      </c>
    </row>
    <row r="2" spans="1:18" ht="16.5" x14ac:dyDescent="0.15">
      <c r="A2" s="13" t="s">
        <v>11</v>
      </c>
      <c r="B2" s="2" t="s">
        <v>11</v>
      </c>
      <c r="C2" s="2" t="s">
        <v>27</v>
      </c>
      <c r="D2" s="2" t="s">
        <v>11</v>
      </c>
      <c r="E2" s="2" t="s">
        <v>11</v>
      </c>
      <c r="F2" s="11" t="s">
        <v>34</v>
      </c>
      <c r="G2" s="11" t="s">
        <v>34</v>
      </c>
      <c r="I2">
        <v>0.2</v>
      </c>
      <c r="J2">
        <v>60</v>
      </c>
      <c r="K2">
        <v>29.8</v>
      </c>
      <c r="L2">
        <f>J2-INT(K2/30)*30</f>
        <v>60</v>
      </c>
      <c r="M2">
        <f>K2-INT(K2/30)*30</f>
        <v>29.8</v>
      </c>
      <c r="N2">
        <f>MIN(MAX((MAX(L2,25)-M2)/30,0),2)</f>
        <v>1.0066666666666666</v>
      </c>
      <c r="O2">
        <f t="shared" ref="O2:O6" si="0">POWER((MAX(J2,(30-I2))-K2)/(30-0),1)</f>
        <v>1.0066666666666666</v>
      </c>
      <c r="P2">
        <f>J2-K2</f>
        <v>30.2</v>
      </c>
      <c r="Q2">
        <f>P2-I2</f>
        <v>30</v>
      </c>
      <c r="R2" s="14">
        <f t="shared" ref="R2:R6" si="1">MIN(ROUND((30-I2-M2)/(30-I2)*INT(L2/30)*30,4),1)</f>
        <v>0</v>
      </c>
    </row>
    <row r="3" spans="1:18" x14ac:dyDescent="0.15">
      <c r="A3" t="s">
        <v>12</v>
      </c>
      <c r="B3" t="s">
        <v>17</v>
      </c>
      <c r="C3" t="s">
        <v>18</v>
      </c>
      <c r="D3" t="s">
        <v>19</v>
      </c>
      <c r="E3" t="s">
        <v>20</v>
      </c>
      <c r="F3" s="7" t="s">
        <v>35</v>
      </c>
      <c r="G3" s="9" t="s">
        <v>33</v>
      </c>
      <c r="I3">
        <v>1</v>
      </c>
      <c r="J3">
        <v>60</v>
      </c>
      <c r="K3">
        <v>29</v>
      </c>
      <c r="O3">
        <f t="shared" si="0"/>
        <v>1.0333333333333334</v>
      </c>
      <c r="P3">
        <f t="shared" ref="P3:P7" si="2">J3-K3</f>
        <v>31</v>
      </c>
      <c r="Q3">
        <f t="shared" ref="Q3:Q7" si="3">P3-I3</f>
        <v>30</v>
      </c>
      <c r="R3" s="14">
        <f t="shared" si="1"/>
        <v>0</v>
      </c>
    </row>
    <row r="4" spans="1:18" x14ac:dyDescent="0.15">
      <c r="A4">
        <v>1</v>
      </c>
      <c r="B4">
        <v>1</v>
      </c>
      <c r="C4" s="7" t="s">
        <v>30</v>
      </c>
      <c r="D4" s="8">
        <v>1000</v>
      </c>
      <c r="E4">
        <v>10</v>
      </c>
      <c r="F4" s="7" t="s">
        <v>36</v>
      </c>
      <c r="G4" t="str">
        <f>VLOOKUP(表2[[#This Row],[道具ID]],[1]!表1[[key值]:[名称]],12,FALSE)</f>
        <v>金币</v>
      </c>
      <c r="I4">
        <v>3</v>
      </c>
      <c r="J4">
        <v>60</v>
      </c>
      <c r="K4">
        <v>27</v>
      </c>
      <c r="O4">
        <f t="shared" si="0"/>
        <v>1.1000000000000001</v>
      </c>
      <c r="P4">
        <f t="shared" si="2"/>
        <v>33</v>
      </c>
      <c r="Q4">
        <f t="shared" si="3"/>
        <v>30</v>
      </c>
      <c r="R4" s="14">
        <f t="shared" si="1"/>
        <v>0</v>
      </c>
    </row>
    <row r="5" spans="1:18" x14ac:dyDescent="0.15">
      <c r="A5">
        <v>1</v>
      </c>
      <c r="B5">
        <v>2</v>
      </c>
      <c r="C5" s="7" t="s">
        <v>29</v>
      </c>
      <c r="D5" s="8">
        <v>1</v>
      </c>
      <c r="E5">
        <v>2500</v>
      </c>
      <c r="F5" s="7" t="s">
        <v>37</v>
      </c>
      <c r="G5" t="str">
        <f>VLOOKUP(表2[[#This Row],[道具ID]],[1]!表1[[key值]:[名称]],12,FALSE)</f>
        <v>召唤</v>
      </c>
      <c r="I5">
        <v>5</v>
      </c>
      <c r="J5">
        <v>60</v>
      </c>
      <c r="K5">
        <v>25</v>
      </c>
      <c r="O5">
        <f t="shared" si="0"/>
        <v>1.1666666666666667</v>
      </c>
      <c r="P5">
        <f t="shared" si="2"/>
        <v>35</v>
      </c>
      <c r="Q5">
        <f t="shared" si="3"/>
        <v>30</v>
      </c>
      <c r="R5" s="14">
        <f t="shared" si="1"/>
        <v>0</v>
      </c>
    </row>
    <row r="6" spans="1:18" x14ac:dyDescent="0.15">
      <c r="A6">
        <v>1</v>
      </c>
      <c r="B6">
        <v>3</v>
      </c>
      <c r="C6" s="7" t="s">
        <v>45</v>
      </c>
      <c r="D6" s="8">
        <v>1</v>
      </c>
      <c r="E6">
        <v>2500</v>
      </c>
      <c r="F6" s="7" t="s">
        <v>36</v>
      </c>
      <c r="G6" t="str">
        <f>VLOOKUP(表2[[#This Row],[道具ID]],[1]!表1[[key值]:[名称]],12,FALSE)</f>
        <v>冰冻</v>
      </c>
      <c r="I6">
        <v>12</v>
      </c>
      <c r="J6">
        <v>60</v>
      </c>
      <c r="K6">
        <v>18</v>
      </c>
      <c r="L6">
        <f>J6-INT(K6/30)*30</f>
        <v>60</v>
      </c>
      <c r="M6">
        <f>K6-INT(K6/30)*30</f>
        <v>18</v>
      </c>
      <c r="N6">
        <f>MIN(MAX((MAX(L6,25)-M6)/30*(30-M6)/15,0),2)</f>
        <v>1.1199999999999999</v>
      </c>
      <c r="O6">
        <f t="shared" si="0"/>
        <v>1.4</v>
      </c>
      <c r="P6">
        <f t="shared" si="2"/>
        <v>42</v>
      </c>
      <c r="Q6">
        <f t="shared" si="3"/>
        <v>30</v>
      </c>
      <c r="R6" s="14">
        <f t="shared" si="1"/>
        <v>0</v>
      </c>
    </row>
    <row r="7" spans="1:18" x14ac:dyDescent="0.15">
      <c r="A7">
        <v>1</v>
      </c>
      <c r="B7">
        <v>4</v>
      </c>
      <c r="C7" s="7" t="s">
        <v>28</v>
      </c>
      <c r="D7" s="8">
        <v>1</v>
      </c>
      <c r="E7">
        <v>2000</v>
      </c>
      <c r="F7" s="7" t="s">
        <v>36</v>
      </c>
      <c r="G7" t="str">
        <f>VLOOKUP(表2[[#This Row],[道具ID]],[1]!表1[[key值]:[名称]],12,FALSE)</f>
        <v>锁定</v>
      </c>
      <c r="I7">
        <v>25</v>
      </c>
      <c r="J7">
        <v>0</v>
      </c>
      <c r="K7">
        <v>25</v>
      </c>
      <c r="L7">
        <f>J7-INT(K7/30)*30</f>
        <v>0</v>
      </c>
      <c r="M7">
        <f>K7-INT(K7/30)*30</f>
        <v>25</v>
      </c>
      <c r="N7">
        <f>MIN(MAX((MAX(L7,25)-M7)/30*(30-M7)/45,0),2)</f>
        <v>0</v>
      </c>
      <c r="O7">
        <f>POWER((MAX(J7,(30-I7))-K7)/(30-0),1)</f>
        <v>-0.66666666666666663</v>
      </c>
      <c r="P7">
        <f t="shared" si="2"/>
        <v>-25</v>
      </c>
      <c r="Q7">
        <f t="shared" si="3"/>
        <v>-50</v>
      </c>
      <c r="R7" s="14">
        <f>MIN(ROUND((30-I7-M7)/(30-I7)*(1+INT(L7/30)*30),4),1)</f>
        <v>-4</v>
      </c>
    </row>
    <row r="8" spans="1:18" x14ac:dyDescent="0.15">
      <c r="A8">
        <v>1</v>
      </c>
      <c r="B8">
        <v>5</v>
      </c>
      <c r="C8" s="7" t="s">
        <v>21</v>
      </c>
      <c r="D8" s="8">
        <v>5</v>
      </c>
      <c r="E8">
        <v>2490</v>
      </c>
      <c r="F8" s="7" t="s">
        <v>36</v>
      </c>
      <c r="G8" t="str">
        <f>VLOOKUP(表2[[#This Row],[道具ID]],[1]!表1[[key值]:[名称]],12,FALSE)</f>
        <v>钻石</v>
      </c>
    </row>
    <row r="9" spans="1:18" x14ac:dyDescent="0.15">
      <c r="A9">
        <v>1</v>
      </c>
      <c r="B9">
        <v>6</v>
      </c>
      <c r="C9" s="7" t="s">
        <v>30</v>
      </c>
      <c r="D9" s="8">
        <v>100</v>
      </c>
      <c r="E9">
        <v>500</v>
      </c>
      <c r="F9" s="7" t="s">
        <v>36</v>
      </c>
      <c r="G9" t="str">
        <f>VLOOKUP(表2[[#This Row],[道具ID]],[1]!表1[[key值]:[名称]],12,FALSE)</f>
        <v>金币</v>
      </c>
    </row>
    <row r="10" spans="1:18" x14ac:dyDescent="0.15">
      <c r="A10">
        <v>2</v>
      </c>
      <c r="B10">
        <v>1</v>
      </c>
      <c r="C10" s="7" t="s">
        <v>30</v>
      </c>
      <c r="D10" s="8">
        <v>100000</v>
      </c>
      <c r="E10">
        <v>100</v>
      </c>
      <c r="F10" s="7" t="s">
        <v>36</v>
      </c>
      <c r="G10" t="str">
        <f>VLOOKUP(表2[[#This Row],[道具ID]],[1]!表1[[key值]:[名称]],12,FALSE)</f>
        <v>金币</v>
      </c>
    </row>
    <row r="11" spans="1:18" x14ac:dyDescent="0.15">
      <c r="A11">
        <v>2</v>
      </c>
      <c r="B11">
        <v>2</v>
      </c>
      <c r="C11" s="7" t="s">
        <v>31</v>
      </c>
      <c r="D11" s="8">
        <v>1</v>
      </c>
      <c r="E11">
        <v>200</v>
      </c>
      <c r="F11" s="7" t="s">
        <v>36</v>
      </c>
      <c r="G11" t="str">
        <f>VLOOKUP(表2[[#This Row],[道具ID]],[1]!表1[[key值]:[名称]],12,FALSE)</f>
        <v>青铜弹头</v>
      </c>
    </row>
    <row r="12" spans="1:18" x14ac:dyDescent="0.15">
      <c r="A12">
        <v>2</v>
      </c>
      <c r="B12">
        <v>3</v>
      </c>
      <c r="C12" s="7" t="s">
        <v>28</v>
      </c>
      <c r="D12" s="8">
        <v>2</v>
      </c>
      <c r="E12">
        <v>2650</v>
      </c>
      <c r="F12" s="7" t="s">
        <v>36</v>
      </c>
      <c r="G12" t="str">
        <f>VLOOKUP(表2[[#This Row],[道具ID]],[1]!表1[[key值]:[名称]],12,FALSE)</f>
        <v>锁定</v>
      </c>
    </row>
    <row r="13" spans="1:18" x14ac:dyDescent="0.15">
      <c r="A13">
        <v>2</v>
      </c>
      <c r="B13">
        <v>4</v>
      </c>
      <c r="C13" s="7" t="s">
        <v>29</v>
      </c>
      <c r="D13" s="8">
        <v>2</v>
      </c>
      <c r="E13">
        <v>2650</v>
      </c>
      <c r="F13" s="7" t="s">
        <v>36</v>
      </c>
      <c r="G13" t="str">
        <f>VLOOKUP(表2[[#This Row],[道具ID]],[1]!表1[[key值]:[名称]],12,FALSE)</f>
        <v>召唤</v>
      </c>
    </row>
    <row r="14" spans="1:18" x14ac:dyDescent="0.15">
      <c r="A14">
        <v>2</v>
      </c>
      <c r="B14">
        <v>5</v>
      </c>
      <c r="C14" s="7" t="s">
        <v>30</v>
      </c>
      <c r="D14" s="8">
        <v>2000</v>
      </c>
      <c r="E14">
        <v>2200</v>
      </c>
      <c r="F14" s="7" t="s">
        <v>36</v>
      </c>
      <c r="G14" t="str">
        <f>VLOOKUP(表2[[#This Row],[道具ID]],[1]!表1[[key值]:[名称]],12,FALSE)</f>
        <v>金币</v>
      </c>
    </row>
    <row r="15" spans="1:18" x14ac:dyDescent="0.15">
      <c r="A15">
        <v>2</v>
      </c>
      <c r="B15">
        <v>6</v>
      </c>
      <c r="C15" s="7" t="s">
        <v>30</v>
      </c>
      <c r="D15" s="8">
        <v>20000</v>
      </c>
      <c r="E15">
        <v>2200</v>
      </c>
      <c r="F15" s="7" t="s">
        <v>36</v>
      </c>
      <c r="G15" t="str">
        <f>VLOOKUP(表2[[#This Row],[道具ID]],[1]!表1[[key值]:[名称]],12,FALSE)</f>
        <v>金币</v>
      </c>
    </row>
    <row r="16" spans="1:18" x14ac:dyDescent="0.15">
      <c r="A16">
        <v>3</v>
      </c>
      <c r="B16">
        <v>1</v>
      </c>
      <c r="C16" s="7" t="s">
        <v>30</v>
      </c>
      <c r="D16" s="8">
        <v>250000</v>
      </c>
      <c r="E16">
        <v>100</v>
      </c>
      <c r="F16" s="7" t="s">
        <v>36</v>
      </c>
      <c r="G16" t="str">
        <f>VLOOKUP(表2[[#This Row],[道具ID]],[1]!表1[[key值]:[名称]],12,FALSE)</f>
        <v>金币</v>
      </c>
    </row>
    <row r="17" spans="1:7" x14ac:dyDescent="0.15">
      <c r="A17">
        <v>3</v>
      </c>
      <c r="B17">
        <v>2</v>
      </c>
      <c r="C17" s="7" t="s">
        <v>31</v>
      </c>
      <c r="D17" s="8">
        <v>2</v>
      </c>
      <c r="E17">
        <v>300</v>
      </c>
      <c r="F17" s="7" t="s">
        <v>36</v>
      </c>
      <c r="G17" t="str">
        <f>VLOOKUP(表2[[#This Row],[道具ID]],[1]!表1[[key值]:[名称]],12,FALSE)</f>
        <v>青铜弹头</v>
      </c>
    </row>
    <row r="18" spans="1:7" x14ac:dyDescent="0.15">
      <c r="A18">
        <v>3</v>
      </c>
      <c r="B18">
        <v>3</v>
      </c>
      <c r="C18" s="7" t="s">
        <v>45</v>
      </c>
      <c r="D18" s="8">
        <v>5</v>
      </c>
      <c r="E18">
        <v>2500</v>
      </c>
      <c r="F18" s="7" t="s">
        <v>36</v>
      </c>
      <c r="G18" t="str">
        <f>VLOOKUP(表2[[#This Row],[道具ID]],[1]!表1[[key值]:[名称]],12,FALSE)</f>
        <v>冰冻</v>
      </c>
    </row>
    <row r="19" spans="1:7" x14ac:dyDescent="0.15">
      <c r="A19">
        <v>3</v>
      </c>
      <c r="B19">
        <v>4</v>
      </c>
      <c r="C19" s="7" t="s">
        <v>29</v>
      </c>
      <c r="D19" s="8">
        <v>5</v>
      </c>
      <c r="E19">
        <v>2500</v>
      </c>
      <c r="F19" s="7" t="s">
        <v>36</v>
      </c>
      <c r="G19" t="str">
        <f>VLOOKUP(表2[[#This Row],[道具ID]],[1]!表1[[key值]:[名称]],12,FALSE)</f>
        <v>召唤</v>
      </c>
    </row>
    <row r="20" spans="1:7" x14ac:dyDescent="0.15">
      <c r="A20">
        <v>3</v>
      </c>
      <c r="B20">
        <v>5</v>
      </c>
      <c r="C20" s="7" t="s">
        <v>30</v>
      </c>
      <c r="D20" s="8">
        <v>10000</v>
      </c>
      <c r="E20">
        <v>2000</v>
      </c>
      <c r="F20" s="7" t="s">
        <v>36</v>
      </c>
      <c r="G20" t="str">
        <f>VLOOKUP(表2[[#This Row],[道具ID]],[1]!表1[[key值]:[名称]],12,FALSE)</f>
        <v>金币</v>
      </c>
    </row>
    <row r="21" spans="1:7" x14ac:dyDescent="0.15">
      <c r="A21">
        <v>3</v>
      </c>
      <c r="B21">
        <v>6</v>
      </c>
      <c r="C21" s="7" t="s">
        <v>30</v>
      </c>
      <c r="D21" s="8">
        <v>50000</v>
      </c>
      <c r="E21">
        <v>2600</v>
      </c>
      <c r="F21" s="7" t="s">
        <v>36</v>
      </c>
      <c r="G21" t="str">
        <f>VLOOKUP(表2[[#This Row],[道具ID]],[1]!表1[[key值]:[名称]],12,FALSE)</f>
        <v>金币</v>
      </c>
    </row>
    <row r="22" spans="1:7" x14ac:dyDescent="0.15">
      <c r="A22">
        <v>4</v>
      </c>
      <c r="B22">
        <v>1</v>
      </c>
      <c r="C22" s="7" t="s">
        <v>30</v>
      </c>
      <c r="D22" s="8">
        <v>500000</v>
      </c>
      <c r="E22">
        <v>100</v>
      </c>
      <c r="F22" s="7" t="s">
        <v>36</v>
      </c>
      <c r="G22" t="str">
        <f>VLOOKUP(表2[[#This Row],[道具ID]],[1]!表1[[key值]:[名称]],12,FALSE)</f>
        <v>金币</v>
      </c>
    </row>
    <row r="23" spans="1:7" x14ac:dyDescent="0.15">
      <c r="A23">
        <v>4</v>
      </c>
      <c r="B23">
        <v>2</v>
      </c>
      <c r="C23" s="7" t="s">
        <v>32</v>
      </c>
      <c r="D23" s="8">
        <v>1</v>
      </c>
      <c r="E23">
        <v>400</v>
      </c>
      <c r="F23" s="7" t="s">
        <v>36</v>
      </c>
      <c r="G23" t="str">
        <f>VLOOKUP(表2[[#This Row],[道具ID]],[1]!表1[[key值]:[名称]],12,FALSE)</f>
        <v>白银弹头</v>
      </c>
    </row>
    <row r="24" spans="1:7" x14ac:dyDescent="0.15">
      <c r="A24">
        <v>4</v>
      </c>
      <c r="B24">
        <v>3</v>
      </c>
      <c r="C24" s="7" t="s">
        <v>28</v>
      </c>
      <c r="D24" s="8">
        <v>10</v>
      </c>
      <c r="E24">
        <v>2450</v>
      </c>
      <c r="F24" s="7" t="s">
        <v>36</v>
      </c>
      <c r="G24" t="str">
        <f>VLOOKUP(表2[[#This Row],[道具ID]],[1]!表1[[key值]:[名称]],12,FALSE)</f>
        <v>锁定</v>
      </c>
    </row>
    <row r="25" spans="1:7" x14ac:dyDescent="0.15">
      <c r="A25">
        <v>4</v>
      </c>
      <c r="B25">
        <v>4</v>
      </c>
      <c r="C25" s="7" t="s">
        <v>29</v>
      </c>
      <c r="D25" s="8">
        <v>10</v>
      </c>
      <c r="E25">
        <v>2450</v>
      </c>
      <c r="F25" s="7" t="s">
        <v>36</v>
      </c>
      <c r="G25" t="str">
        <f>VLOOKUP(表2[[#This Row],[道具ID]],[1]!表1[[key值]:[名称]],12,FALSE)</f>
        <v>召唤</v>
      </c>
    </row>
    <row r="26" spans="1:7" x14ac:dyDescent="0.15">
      <c r="A26">
        <v>4</v>
      </c>
      <c r="B26">
        <v>5</v>
      </c>
      <c r="C26" s="7" t="s">
        <v>30</v>
      </c>
      <c r="D26" s="8">
        <v>50000</v>
      </c>
      <c r="E26">
        <v>2300</v>
      </c>
      <c r="F26" s="7" t="s">
        <v>36</v>
      </c>
      <c r="G26" t="str">
        <f>VLOOKUP(表2[[#This Row],[道具ID]],[1]!表1[[key值]:[名称]],12,FALSE)</f>
        <v>金币</v>
      </c>
    </row>
    <row r="27" spans="1:7" x14ac:dyDescent="0.15">
      <c r="A27">
        <v>4</v>
      </c>
      <c r="B27">
        <v>6</v>
      </c>
      <c r="C27" s="7" t="s">
        <v>30</v>
      </c>
      <c r="D27" s="8">
        <v>200000</v>
      </c>
      <c r="E27">
        <v>2300</v>
      </c>
      <c r="F27" s="7" t="s">
        <v>36</v>
      </c>
      <c r="G27" t="str">
        <f>VLOOKUP(表2[[#This Row],[道具ID]],[1]!表1[[key值]:[名称]],12,FALSE)</f>
        <v>金币</v>
      </c>
    </row>
    <row r="28" spans="1:7" x14ac:dyDescent="0.15">
      <c r="A28">
        <v>5</v>
      </c>
      <c r="B28">
        <v>1</v>
      </c>
      <c r="C28" s="7" t="s">
        <v>30</v>
      </c>
      <c r="D28" s="8">
        <v>2000000</v>
      </c>
      <c r="E28">
        <v>100</v>
      </c>
      <c r="F28" s="7" t="s">
        <v>36</v>
      </c>
      <c r="G28" t="str">
        <f>VLOOKUP(表2[[#This Row],[道具ID]],[1]!表1[[key值]:[名称]],12,FALSE)</f>
        <v>金币</v>
      </c>
    </row>
    <row r="29" spans="1:7" x14ac:dyDescent="0.15">
      <c r="A29">
        <v>5</v>
      </c>
      <c r="B29">
        <v>2</v>
      </c>
      <c r="C29" s="7" t="s">
        <v>32</v>
      </c>
      <c r="D29" s="8">
        <v>2</v>
      </c>
      <c r="E29">
        <v>400</v>
      </c>
      <c r="F29" s="7" t="s">
        <v>36</v>
      </c>
      <c r="G29" t="str">
        <f>VLOOKUP(表2[[#This Row],[道具ID]],[1]!表1[[key值]:[名称]],12,FALSE)</f>
        <v>白银弹头</v>
      </c>
    </row>
    <row r="30" spans="1:7" x14ac:dyDescent="0.15">
      <c r="A30">
        <v>5</v>
      </c>
      <c r="B30">
        <v>3</v>
      </c>
      <c r="C30" s="7" t="s">
        <v>45</v>
      </c>
      <c r="D30" s="8">
        <v>20</v>
      </c>
      <c r="E30">
        <v>2500</v>
      </c>
      <c r="F30" s="7" t="s">
        <v>36</v>
      </c>
      <c r="G30" t="str">
        <f>VLOOKUP(表2[[#This Row],[道具ID]],[1]!表1[[key值]:[名称]],12,FALSE)</f>
        <v>冰冻</v>
      </c>
    </row>
    <row r="31" spans="1:7" x14ac:dyDescent="0.15">
      <c r="A31">
        <v>5</v>
      </c>
      <c r="B31">
        <v>4</v>
      </c>
      <c r="C31" s="7" t="s">
        <v>29</v>
      </c>
      <c r="D31" s="8">
        <v>20</v>
      </c>
      <c r="E31">
        <v>2500</v>
      </c>
      <c r="F31" s="7" t="s">
        <v>36</v>
      </c>
      <c r="G31" t="str">
        <f>VLOOKUP(表2[[#This Row],[道具ID]],[1]!表1[[key值]:[名称]],12,FALSE)</f>
        <v>召唤</v>
      </c>
    </row>
    <row r="32" spans="1:7" x14ac:dyDescent="0.15">
      <c r="A32">
        <v>5</v>
      </c>
      <c r="B32">
        <v>5</v>
      </c>
      <c r="C32" s="7" t="s">
        <v>30</v>
      </c>
      <c r="D32" s="8">
        <v>150000</v>
      </c>
      <c r="E32">
        <v>2100</v>
      </c>
      <c r="F32" s="7" t="s">
        <v>36</v>
      </c>
      <c r="G32" t="str">
        <f>VLOOKUP(表2[[#This Row],[道具ID]],[1]!表1[[key值]:[名称]],12,FALSE)</f>
        <v>金币</v>
      </c>
    </row>
    <row r="33" spans="1:7" x14ac:dyDescent="0.15">
      <c r="A33">
        <v>5</v>
      </c>
      <c r="B33">
        <v>6</v>
      </c>
      <c r="C33" s="7" t="s">
        <v>30</v>
      </c>
      <c r="D33" s="8">
        <v>600000</v>
      </c>
      <c r="E33">
        <v>2400</v>
      </c>
      <c r="F33" s="7" t="s">
        <v>36</v>
      </c>
      <c r="G33" t="str">
        <f>VLOOKUP(表2[[#This Row],[道具ID]],[1]!表1[[key值]:[名称]],12,FALSE)</f>
        <v>金币</v>
      </c>
    </row>
    <row r="34" spans="1:7" x14ac:dyDescent="0.15">
      <c r="A34">
        <v>6</v>
      </c>
      <c r="B34">
        <v>1</v>
      </c>
      <c r="C34" s="7" t="s">
        <v>30</v>
      </c>
      <c r="D34" s="8">
        <v>6000000</v>
      </c>
      <c r="E34">
        <v>100</v>
      </c>
      <c r="F34" s="7" t="s">
        <v>36</v>
      </c>
      <c r="G34" t="str">
        <f>VLOOKUP(表2[[#This Row],[道具ID]],[1]!表1[[key值]:[名称]],12,FALSE)</f>
        <v>金币</v>
      </c>
    </row>
    <row r="35" spans="1:7" x14ac:dyDescent="0.15">
      <c r="A35">
        <v>6</v>
      </c>
      <c r="B35">
        <v>2</v>
      </c>
      <c r="C35" s="7" t="s">
        <v>32</v>
      </c>
      <c r="D35" s="8">
        <v>2</v>
      </c>
      <c r="E35">
        <v>600</v>
      </c>
      <c r="F35" s="7" t="s">
        <v>36</v>
      </c>
      <c r="G35" t="str">
        <f>VLOOKUP(表2[[#This Row],[道具ID]],[1]!表1[[key值]:[名称]],12,FALSE)</f>
        <v>白银弹头</v>
      </c>
    </row>
    <row r="36" spans="1:7" x14ac:dyDescent="0.15">
      <c r="A36">
        <v>6</v>
      </c>
      <c r="B36">
        <v>3</v>
      </c>
      <c r="C36" s="7" t="s">
        <v>28</v>
      </c>
      <c r="D36" s="8">
        <v>50</v>
      </c>
      <c r="E36">
        <v>2500</v>
      </c>
      <c r="F36" s="7" t="s">
        <v>36</v>
      </c>
      <c r="G36" t="str">
        <f>VLOOKUP(表2[[#This Row],[道具ID]],[1]!表1[[key值]:[名称]],12,FALSE)</f>
        <v>锁定</v>
      </c>
    </row>
    <row r="37" spans="1:7" x14ac:dyDescent="0.15">
      <c r="A37">
        <v>6</v>
      </c>
      <c r="B37">
        <v>4</v>
      </c>
      <c r="C37" s="7" t="s">
        <v>29</v>
      </c>
      <c r="D37" s="8">
        <v>50</v>
      </c>
      <c r="E37">
        <v>2500</v>
      </c>
      <c r="F37" s="7" t="s">
        <v>36</v>
      </c>
      <c r="G37" t="str">
        <f>VLOOKUP(表2[[#This Row],[道具ID]],[1]!表1[[key值]:[名称]],12,FALSE)</f>
        <v>召唤</v>
      </c>
    </row>
    <row r="38" spans="1:7" x14ac:dyDescent="0.15">
      <c r="A38">
        <v>6</v>
      </c>
      <c r="B38">
        <v>5</v>
      </c>
      <c r="C38" s="7" t="s">
        <v>30</v>
      </c>
      <c r="D38" s="8">
        <v>250000</v>
      </c>
      <c r="E38">
        <v>2200</v>
      </c>
      <c r="F38" s="7" t="s">
        <v>36</v>
      </c>
      <c r="G38" t="str">
        <f>VLOOKUP(表2[[#This Row],[道具ID]],[1]!表1[[key值]:[名称]],12,FALSE)</f>
        <v>金币</v>
      </c>
    </row>
    <row r="39" spans="1:7" x14ac:dyDescent="0.15">
      <c r="A39">
        <v>6</v>
      </c>
      <c r="B39">
        <v>6</v>
      </c>
      <c r="C39" s="7" t="s">
        <v>30</v>
      </c>
      <c r="D39" s="8">
        <v>2000000</v>
      </c>
      <c r="E39">
        <v>2100</v>
      </c>
      <c r="F39" s="7" t="s">
        <v>36</v>
      </c>
      <c r="G39" t="str">
        <f>VLOOKUP(表2[[#This Row],[道具ID]],[1]!表1[[key值]:[名称]],12,FALSE)</f>
        <v>金币</v>
      </c>
    </row>
  </sheetData>
  <phoneticPr fontId="3" type="noConversion"/>
  <dataValidations disablePrompts="1" count="1">
    <dataValidation allowBlank="1" showInputMessage="1" showErrorMessage="1" prompt="满值10000" sqref="E3" xr:uid="{00000000-0002-0000-0200-000000000000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goldlevel_cfg</vt:lpstr>
      <vt:lpstr>goldfish_cfg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2016-07-25T06:42:00Z</dcterms:created>
  <dcterms:modified xsi:type="dcterms:W3CDTF">2017-11-29T08:02:44Z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