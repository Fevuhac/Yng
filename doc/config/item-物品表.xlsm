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850" activeTab="2" xr2:uid="{00000000-000D-0000-FFFF-FFFF00000000}"/>
  </bookViews>
  <sheets>
    <sheet name="description" sheetId="1" r:id="rId1"/>
    <sheet name="itemtype_cfg" sheetId="3" r:id="rId2"/>
    <sheet name="item_cfg" sheetId="2" r:id="rId3"/>
    <sheet name="mix_cfg" sheetId="4" r:id="rId4"/>
  </sheets>
  <functionGroups builtInGroupCount="19"/>
  <externalReferences>
    <externalReference r:id="rId5"/>
  </externalReferences>
  <calcPr calcId="171027"/>
</workbook>
</file>

<file path=xl/calcChain.xml><?xml version="1.0" encoding="utf-8"?>
<calcChain xmlns="http://schemas.openxmlformats.org/spreadsheetml/2006/main">
  <c r="C120" i="2" l="1"/>
  <c r="M120" i="2" s="1"/>
  <c r="B120" i="2"/>
  <c r="L120" i="2" s="1"/>
  <c r="C119" i="2"/>
  <c r="M119" i="2" s="1"/>
  <c r="B119" i="2"/>
  <c r="L119" i="2" s="1"/>
  <c r="C118" i="2"/>
  <c r="M118" i="2" s="1"/>
  <c r="B118" i="2"/>
  <c r="L118" i="2" s="1"/>
  <c r="C117" i="2"/>
  <c r="M117" i="2" s="1"/>
  <c r="B117" i="2"/>
  <c r="L117" i="2" s="1"/>
  <c r="C116" i="2"/>
  <c r="M116" i="2" s="1"/>
  <c r="B116" i="2"/>
  <c r="L116" i="2" s="1"/>
  <c r="C115" i="2"/>
  <c r="M115" i="2" s="1"/>
  <c r="B115" i="2"/>
  <c r="L115" i="2" s="1"/>
  <c r="C114" i="2"/>
  <c r="M114" i="2" s="1"/>
  <c r="B114" i="2"/>
  <c r="L114" i="2" s="1"/>
  <c r="M113" i="2"/>
  <c r="C113" i="2"/>
  <c r="B113" i="2"/>
  <c r="L113" i="2" s="1"/>
  <c r="M112" i="2"/>
  <c r="C112" i="2"/>
  <c r="B112" i="2"/>
  <c r="L112" i="2" s="1"/>
  <c r="M111" i="2"/>
  <c r="C111" i="2"/>
  <c r="B111" i="2"/>
  <c r="L111" i="2" s="1"/>
  <c r="M110" i="2"/>
  <c r="C110" i="2"/>
  <c r="B110" i="2"/>
  <c r="L110" i="2" s="1"/>
  <c r="M109" i="2"/>
  <c r="C109" i="2"/>
  <c r="B109" i="2"/>
  <c r="L109" i="2" s="1"/>
  <c r="C8" i="2" l="1"/>
  <c r="M8" i="2" s="1"/>
  <c r="B8" i="2"/>
  <c r="L8" i="2" s="1"/>
  <c r="C58" i="2" l="1"/>
  <c r="M58" i="2" s="1"/>
  <c r="B58" i="2"/>
  <c r="L58" i="2" s="1"/>
  <c r="C57" i="2" l="1"/>
  <c r="M57" i="2" s="1"/>
  <c r="B57" i="2"/>
  <c r="L57" i="2" s="1"/>
  <c r="C64" i="2" l="1"/>
  <c r="M64" i="2" s="1"/>
  <c r="B64" i="2"/>
  <c r="L64" i="2" s="1"/>
  <c r="C53" i="2" l="1"/>
  <c r="M53" i="2" s="1"/>
  <c r="B53" i="2"/>
  <c r="L53" i="2" s="1"/>
  <c r="C56" i="2" l="1"/>
  <c r="M56" i="2" s="1"/>
  <c r="B56" i="2"/>
  <c r="L56" i="2" s="1"/>
  <c r="C55" i="2"/>
  <c r="B55" i="2"/>
  <c r="L55" i="2" s="1"/>
  <c r="C54" i="2"/>
  <c r="M54" i="2" s="1"/>
  <c r="B54" i="2"/>
  <c r="L54" i="2" s="1"/>
  <c r="C52" i="2"/>
  <c r="B52" i="2"/>
  <c r="L52" i="2" s="1"/>
  <c r="C51" i="2"/>
  <c r="M51" i="2" s="1"/>
  <c r="B51" i="2"/>
  <c r="L51" i="2" s="1"/>
  <c r="C50" i="2"/>
  <c r="B50" i="2"/>
  <c r="L50" i="2" s="1"/>
  <c r="C49" i="2"/>
  <c r="M49" i="2" s="1"/>
  <c r="B49" i="2"/>
  <c r="L49" i="2" s="1"/>
  <c r="C48" i="2"/>
  <c r="B48" i="2"/>
  <c r="L48" i="2" s="1"/>
  <c r="C47" i="2"/>
  <c r="M47" i="2" s="1"/>
  <c r="B47" i="2"/>
  <c r="L47" i="2" s="1"/>
  <c r="M50" i="2" l="1"/>
  <c r="M52" i="2"/>
  <c r="M55" i="2"/>
  <c r="M48" i="2"/>
  <c r="C30" i="2"/>
  <c r="M30" i="2" s="1"/>
  <c r="B30" i="2"/>
  <c r="L30" i="2" s="1"/>
  <c r="C160" i="2"/>
  <c r="M160" i="2" s="1"/>
  <c r="B160" i="2"/>
  <c r="L160" i="2" s="1"/>
  <c r="C159" i="2"/>
  <c r="M159" i="2" s="1"/>
  <c r="B159" i="2"/>
  <c r="L159" i="2" s="1"/>
  <c r="C158" i="2"/>
  <c r="M158" i="2" s="1"/>
  <c r="B158" i="2"/>
  <c r="L158" i="2" s="1"/>
  <c r="C157" i="2"/>
  <c r="M157" i="2" s="1"/>
  <c r="B157" i="2"/>
  <c r="L157" i="2" s="1"/>
  <c r="C156" i="2"/>
  <c r="M156" i="2" s="1"/>
  <c r="B156" i="2"/>
  <c r="L156" i="2" s="1"/>
  <c r="C155" i="2"/>
  <c r="M155" i="2" s="1"/>
  <c r="B155" i="2"/>
  <c r="L155" i="2" s="1"/>
  <c r="C154" i="2"/>
  <c r="M154" i="2" s="1"/>
  <c r="B154" i="2"/>
  <c r="L154" i="2" s="1"/>
  <c r="C153" i="2"/>
  <c r="M153" i="2" s="1"/>
  <c r="B153" i="2"/>
  <c r="L153" i="2" s="1"/>
  <c r="C152" i="2"/>
  <c r="M152" i="2" s="1"/>
  <c r="B152" i="2"/>
  <c r="L152" i="2" s="1"/>
  <c r="C151" i="2"/>
  <c r="M151" i="2" s="1"/>
  <c r="B151" i="2"/>
  <c r="L151" i="2" s="1"/>
  <c r="C150" i="2"/>
  <c r="M150" i="2" s="1"/>
  <c r="B150" i="2"/>
  <c r="L150" i="2" s="1"/>
  <c r="C149" i="2"/>
  <c r="M149" i="2" s="1"/>
  <c r="B149" i="2"/>
  <c r="L149" i="2" s="1"/>
  <c r="C148" i="2"/>
  <c r="M148" i="2" s="1"/>
  <c r="B148" i="2"/>
  <c r="L148" i="2" s="1"/>
  <c r="C147" i="2"/>
  <c r="M147" i="2" s="1"/>
  <c r="B147" i="2"/>
  <c r="L147" i="2" s="1"/>
  <c r="C146" i="2"/>
  <c r="M146" i="2" s="1"/>
  <c r="B146" i="2"/>
  <c r="L146" i="2" s="1"/>
  <c r="C145" i="2"/>
  <c r="M145" i="2" s="1"/>
  <c r="B145" i="2"/>
  <c r="L145" i="2" s="1"/>
  <c r="C144" i="2"/>
  <c r="M144" i="2" s="1"/>
  <c r="B144" i="2"/>
  <c r="L144" i="2" s="1"/>
  <c r="C143" i="2"/>
  <c r="M143" i="2" s="1"/>
  <c r="B143" i="2"/>
  <c r="L143" i="2" s="1"/>
  <c r="C142" i="2"/>
  <c r="M142" i="2" s="1"/>
  <c r="B142" i="2"/>
  <c r="L142" i="2" s="1"/>
  <c r="C141" i="2"/>
  <c r="M141" i="2" s="1"/>
  <c r="B141" i="2"/>
  <c r="L141" i="2" s="1"/>
  <c r="C140" i="2"/>
  <c r="M140" i="2" s="1"/>
  <c r="B140" i="2"/>
  <c r="L140" i="2" s="1"/>
  <c r="C139" i="2"/>
  <c r="M139" i="2" s="1"/>
  <c r="B139" i="2"/>
  <c r="L139" i="2" s="1"/>
  <c r="C138" i="2"/>
  <c r="M138" i="2" s="1"/>
  <c r="B138" i="2"/>
  <c r="L138" i="2" s="1"/>
  <c r="C137" i="2"/>
  <c r="M137" i="2" s="1"/>
  <c r="B137" i="2"/>
  <c r="L137" i="2" s="1"/>
  <c r="C136" i="2"/>
  <c r="M136" i="2" s="1"/>
  <c r="B136" i="2"/>
  <c r="L136" i="2" s="1"/>
  <c r="C135" i="2"/>
  <c r="M135" i="2" s="1"/>
  <c r="B135" i="2"/>
  <c r="L135" i="2" s="1"/>
  <c r="C134" i="2"/>
  <c r="M134" i="2" s="1"/>
  <c r="B134" i="2"/>
  <c r="L134" i="2" s="1"/>
  <c r="C133" i="2"/>
  <c r="M133" i="2" s="1"/>
  <c r="B133" i="2"/>
  <c r="L133" i="2" s="1"/>
  <c r="C132" i="2"/>
  <c r="M132" i="2" s="1"/>
  <c r="B132" i="2"/>
  <c r="L132" i="2" s="1"/>
  <c r="C131" i="2"/>
  <c r="M131" i="2" s="1"/>
  <c r="B131" i="2"/>
  <c r="L131" i="2" s="1"/>
  <c r="C63" i="2"/>
  <c r="M63" i="2" s="1"/>
  <c r="B63" i="2"/>
  <c r="L63" i="2" s="1"/>
  <c r="C10" i="2"/>
  <c r="M10" i="2" s="1"/>
  <c r="B10" i="2"/>
  <c r="L10" i="2" s="1"/>
  <c r="C9" i="2"/>
  <c r="M9" i="2" s="1"/>
  <c r="B9" i="2"/>
  <c r="L9" i="2" s="1"/>
  <c r="C46" i="2"/>
  <c r="M46" i="2" s="1"/>
  <c r="B46" i="2"/>
  <c r="L46" i="2" s="1"/>
  <c r="C45" i="2"/>
  <c r="M45" i="2" s="1"/>
  <c r="B45" i="2"/>
  <c r="L45" i="2" s="1"/>
  <c r="C44" i="2"/>
  <c r="M44" i="2" s="1"/>
  <c r="B44" i="2"/>
  <c r="L44" i="2" s="1"/>
  <c r="B43" i="2"/>
  <c r="L43" i="2" s="1"/>
  <c r="C43" i="2"/>
  <c r="M43" i="2" s="1"/>
  <c r="C42" i="2"/>
  <c r="M42" i="2" s="1"/>
  <c r="B42" i="2"/>
  <c r="L42" i="2" s="1"/>
  <c r="C41" i="2"/>
  <c r="M41" i="2" s="1"/>
  <c r="B41" i="2"/>
  <c r="L41" i="2" s="1"/>
  <c r="C59" i="2"/>
  <c r="M59" i="2" s="1"/>
  <c r="B59" i="2"/>
  <c r="L59" i="2" s="1"/>
  <c r="C130" i="2"/>
  <c r="M130" i="2" s="1"/>
  <c r="B130" i="2"/>
  <c r="L130" i="2" s="1"/>
  <c r="C129" i="2"/>
  <c r="M129" i="2" s="1"/>
  <c r="B129" i="2"/>
  <c r="L129" i="2" s="1"/>
  <c r="C128" i="2"/>
  <c r="M128" i="2" s="1"/>
  <c r="B128" i="2"/>
  <c r="L128" i="2" s="1"/>
  <c r="C127" i="2"/>
  <c r="M127" i="2" s="1"/>
  <c r="B127" i="2"/>
  <c r="L127" i="2" s="1"/>
  <c r="C125" i="2"/>
  <c r="M125" i="2" s="1"/>
  <c r="B125" i="2"/>
  <c r="L125" i="2" s="1"/>
  <c r="C124" i="2"/>
  <c r="M124" i="2" s="1"/>
  <c r="B124" i="2"/>
  <c r="L124" i="2" s="1"/>
  <c r="C123" i="2"/>
  <c r="M123" i="2" s="1"/>
  <c r="B123" i="2"/>
  <c r="L123" i="2" s="1"/>
  <c r="C7" i="2"/>
  <c r="M7" i="2" s="1"/>
  <c r="B7" i="2"/>
  <c r="L7" i="2" s="1"/>
  <c r="C126" i="2"/>
  <c r="M126" i="2" s="1"/>
  <c r="B126" i="2"/>
  <c r="L126" i="2" s="1"/>
  <c r="C122" i="2"/>
  <c r="M122" i="2" s="1"/>
  <c r="B122" i="2"/>
  <c r="L122" i="2" s="1"/>
  <c r="C121" i="2"/>
  <c r="M121" i="2" s="1"/>
  <c r="B121" i="2"/>
  <c r="L121" i="2" s="1"/>
  <c r="C40" i="2"/>
  <c r="M40" i="2" s="1"/>
  <c r="B40" i="2"/>
  <c r="L40" i="2" s="1"/>
  <c r="C39" i="2"/>
  <c r="M39" i="2" s="1"/>
  <c r="B39" i="2"/>
  <c r="L39" i="2" s="1"/>
  <c r="C38" i="2"/>
  <c r="M38" i="2" s="1"/>
  <c r="B38" i="2"/>
  <c r="L38" i="2" s="1"/>
  <c r="C37" i="2"/>
  <c r="M37" i="2" s="1"/>
  <c r="B37" i="2"/>
  <c r="L37" i="2" s="1"/>
  <c r="C36" i="2"/>
  <c r="M36" i="2" s="1"/>
  <c r="B36" i="2"/>
  <c r="L36" i="2" s="1"/>
  <c r="C35" i="2"/>
  <c r="M35" i="2" s="1"/>
  <c r="B35" i="2"/>
  <c r="L35" i="2" s="1"/>
  <c r="C34" i="2"/>
  <c r="M34" i="2" s="1"/>
  <c r="B34" i="2"/>
  <c r="L34" i="2" s="1"/>
  <c r="B33" i="2"/>
  <c r="L33" i="2" s="1"/>
  <c r="C33" i="2"/>
  <c r="M33" i="2" s="1"/>
  <c r="C108" i="2"/>
  <c r="M108" i="2" s="1"/>
  <c r="B108" i="2"/>
  <c r="L108" i="2" s="1"/>
  <c r="C107" i="2"/>
  <c r="M107" i="2" s="1"/>
  <c r="B107" i="2"/>
  <c r="L107" i="2" s="1"/>
  <c r="C106" i="2"/>
  <c r="M106" i="2" s="1"/>
  <c r="B106" i="2"/>
  <c r="L106" i="2" s="1"/>
  <c r="C105" i="2"/>
  <c r="M105" i="2" s="1"/>
  <c r="B105" i="2"/>
  <c r="L105" i="2" s="1"/>
  <c r="C104" i="2"/>
  <c r="M104" i="2" s="1"/>
  <c r="B104" i="2"/>
  <c r="L104" i="2" s="1"/>
  <c r="C103" i="2"/>
  <c r="M103" i="2" s="1"/>
  <c r="B103" i="2"/>
  <c r="L103" i="2" s="1"/>
  <c r="C102" i="2"/>
  <c r="M102" i="2" s="1"/>
  <c r="B102" i="2"/>
  <c r="L102" i="2" s="1"/>
  <c r="C101" i="2"/>
  <c r="M101" i="2" s="1"/>
  <c r="B101" i="2"/>
  <c r="L101" i="2" s="1"/>
  <c r="C100" i="2"/>
  <c r="M100" i="2" s="1"/>
  <c r="B100" i="2"/>
  <c r="L100" i="2" s="1"/>
  <c r="C99" i="2"/>
  <c r="M99" i="2" s="1"/>
  <c r="B99" i="2"/>
  <c r="L99" i="2" s="1"/>
  <c r="C98" i="2"/>
  <c r="M98" i="2" s="1"/>
  <c r="B98" i="2"/>
  <c r="L98" i="2" s="1"/>
  <c r="C97" i="2"/>
  <c r="M97" i="2" s="1"/>
  <c r="B97" i="2"/>
  <c r="L97" i="2" s="1"/>
  <c r="C96" i="2"/>
  <c r="M96" i="2" s="1"/>
  <c r="B96" i="2"/>
  <c r="L96" i="2" s="1"/>
  <c r="C95" i="2"/>
  <c r="M95" i="2" s="1"/>
  <c r="B95" i="2"/>
  <c r="L95" i="2" s="1"/>
  <c r="C94" i="2"/>
  <c r="M94" i="2" s="1"/>
  <c r="B94" i="2"/>
  <c r="L94" i="2" s="1"/>
  <c r="C93" i="2"/>
  <c r="M93" i="2" s="1"/>
  <c r="B93" i="2"/>
  <c r="L93" i="2" s="1"/>
  <c r="C92" i="2"/>
  <c r="M92" i="2" s="1"/>
  <c r="B92" i="2"/>
  <c r="L92" i="2" s="1"/>
  <c r="C91" i="2"/>
  <c r="M91" i="2" s="1"/>
  <c r="B91" i="2"/>
  <c r="L91" i="2" s="1"/>
  <c r="C90" i="2"/>
  <c r="M90" i="2" s="1"/>
  <c r="B90" i="2"/>
  <c r="L90" i="2" s="1"/>
  <c r="C89" i="2"/>
  <c r="M89" i="2" s="1"/>
  <c r="B89" i="2"/>
  <c r="L89" i="2" s="1"/>
  <c r="C88" i="2"/>
  <c r="M88" i="2" s="1"/>
  <c r="B88" i="2"/>
  <c r="L88" i="2" s="1"/>
  <c r="C87" i="2"/>
  <c r="M87" i="2" s="1"/>
  <c r="B87" i="2"/>
  <c r="L87" i="2" s="1"/>
  <c r="C86" i="2"/>
  <c r="M86" i="2" s="1"/>
  <c r="B86" i="2"/>
  <c r="L86" i="2" s="1"/>
  <c r="C85" i="2"/>
  <c r="M85" i="2" s="1"/>
  <c r="B85" i="2"/>
  <c r="L85" i="2" s="1"/>
  <c r="C84" i="2"/>
  <c r="M84" i="2" s="1"/>
  <c r="B84" i="2"/>
  <c r="L84" i="2" s="1"/>
  <c r="C83" i="2"/>
  <c r="M83" i="2" s="1"/>
  <c r="B83" i="2"/>
  <c r="L83" i="2" s="1"/>
  <c r="C82" i="2"/>
  <c r="M82" i="2" s="1"/>
  <c r="B82" i="2"/>
  <c r="L82" i="2" s="1"/>
  <c r="C81" i="2"/>
  <c r="M81" i="2" s="1"/>
  <c r="B81" i="2"/>
  <c r="L81" i="2" s="1"/>
  <c r="C80" i="2"/>
  <c r="M80" i="2" s="1"/>
  <c r="B80" i="2"/>
  <c r="L80" i="2" s="1"/>
  <c r="C79" i="2"/>
  <c r="M79" i="2" s="1"/>
  <c r="B79" i="2"/>
  <c r="L79" i="2" s="1"/>
  <c r="C78" i="2"/>
  <c r="M78" i="2" s="1"/>
  <c r="B78" i="2"/>
  <c r="L78" i="2" s="1"/>
  <c r="C77" i="2"/>
  <c r="M77" i="2" s="1"/>
  <c r="B77" i="2"/>
  <c r="L77" i="2" s="1"/>
  <c r="C76" i="2"/>
  <c r="M76" i="2" s="1"/>
  <c r="B76" i="2"/>
  <c r="L76" i="2" s="1"/>
  <c r="C75" i="2"/>
  <c r="M75" i="2" s="1"/>
  <c r="B75" i="2"/>
  <c r="L75" i="2" s="1"/>
  <c r="C74" i="2"/>
  <c r="M74" i="2" s="1"/>
  <c r="B74" i="2"/>
  <c r="L74" i="2" s="1"/>
  <c r="C73" i="2"/>
  <c r="M73" i="2" s="1"/>
  <c r="B73" i="2"/>
  <c r="L73" i="2" s="1"/>
  <c r="C72" i="2"/>
  <c r="M72" i="2" s="1"/>
  <c r="B72" i="2"/>
  <c r="L72" i="2" s="1"/>
  <c r="C71" i="2"/>
  <c r="M71" i="2" s="1"/>
  <c r="B71" i="2"/>
  <c r="L71" i="2" s="1"/>
  <c r="C70" i="2"/>
  <c r="M70" i="2" s="1"/>
  <c r="B70" i="2"/>
  <c r="L70" i="2" s="1"/>
  <c r="C69" i="2"/>
  <c r="M69" i="2" s="1"/>
  <c r="B69" i="2"/>
  <c r="L69" i="2" s="1"/>
  <c r="C68" i="2"/>
  <c r="M68" i="2" s="1"/>
  <c r="B68" i="2"/>
  <c r="L68" i="2" s="1"/>
  <c r="C67" i="2"/>
  <c r="M67" i="2" s="1"/>
  <c r="B67" i="2"/>
  <c r="L67" i="2" s="1"/>
  <c r="C66" i="2"/>
  <c r="M66" i="2" s="1"/>
  <c r="B66" i="2"/>
  <c r="L66" i="2" s="1"/>
  <c r="C65" i="2"/>
  <c r="M65" i="2" s="1"/>
  <c r="B65" i="2"/>
  <c r="L65" i="2" s="1"/>
  <c r="C62" i="2"/>
  <c r="M62" i="2" s="1"/>
  <c r="B62" i="2"/>
  <c r="L62" i="2" s="1"/>
  <c r="C61" i="2"/>
  <c r="M61" i="2" s="1"/>
  <c r="B61" i="2"/>
  <c r="L61" i="2" s="1"/>
  <c r="C60" i="2"/>
  <c r="M60" i="2" s="1"/>
  <c r="B60" i="2"/>
  <c r="L60" i="2" s="1"/>
  <c r="C32" i="2"/>
  <c r="M32" i="2" s="1"/>
  <c r="B32" i="2"/>
  <c r="L32" i="2" s="1"/>
  <c r="C31" i="2"/>
  <c r="M31" i="2" s="1"/>
  <c r="B31" i="2"/>
  <c r="L31" i="2" s="1"/>
  <c r="C29" i="2"/>
  <c r="M29" i="2" s="1"/>
  <c r="B29" i="2"/>
  <c r="L29" i="2" s="1"/>
  <c r="C28" i="2"/>
  <c r="M28" i="2" s="1"/>
  <c r="B28" i="2"/>
  <c r="L28" i="2" s="1"/>
  <c r="C27" i="2"/>
  <c r="M27" i="2" s="1"/>
  <c r="B27" i="2"/>
  <c r="L27" i="2" s="1"/>
  <c r="C26" i="2"/>
  <c r="M26" i="2" s="1"/>
  <c r="B26" i="2"/>
  <c r="L26" i="2" s="1"/>
  <c r="C25" i="2"/>
  <c r="M25" i="2" s="1"/>
  <c r="B25" i="2"/>
  <c r="L25" i="2" s="1"/>
  <c r="C24" i="2"/>
  <c r="M24" i="2" s="1"/>
  <c r="B24" i="2"/>
  <c r="L24" i="2" s="1"/>
  <c r="C23" i="2"/>
  <c r="M23" i="2" s="1"/>
  <c r="B23" i="2"/>
  <c r="L23" i="2" s="1"/>
  <c r="C22" i="2"/>
  <c r="M22" i="2" s="1"/>
  <c r="B22" i="2"/>
  <c r="L22" i="2" s="1"/>
  <c r="C21" i="2"/>
  <c r="M21" i="2" s="1"/>
  <c r="B21" i="2"/>
  <c r="L21" i="2" s="1"/>
  <c r="C20" i="2"/>
  <c r="M20" i="2" s="1"/>
  <c r="B20" i="2"/>
  <c r="L20" i="2" s="1"/>
  <c r="C19" i="2"/>
  <c r="M19" i="2" s="1"/>
  <c r="B19" i="2"/>
  <c r="L19" i="2" s="1"/>
  <c r="C18" i="2"/>
  <c r="M18" i="2" s="1"/>
  <c r="B18" i="2"/>
  <c r="L18" i="2" s="1"/>
  <c r="C17" i="2"/>
  <c r="M17" i="2" s="1"/>
  <c r="B17" i="2"/>
  <c r="L17" i="2" s="1"/>
  <c r="C16" i="2"/>
  <c r="M16" i="2" s="1"/>
  <c r="B16" i="2"/>
  <c r="L16" i="2" s="1"/>
  <c r="C15" i="2"/>
  <c r="M15" i="2" s="1"/>
  <c r="B15" i="2"/>
  <c r="L15" i="2" s="1"/>
  <c r="C14" i="2"/>
  <c r="M14" i="2" s="1"/>
  <c r="B14" i="2"/>
  <c r="L14" i="2" s="1"/>
  <c r="C13" i="2"/>
  <c r="M13" i="2" s="1"/>
  <c r="B13" i="2"/>
  <c r="L13" i="2" s="1"/>
  <c r="C12" i="2"/>
  <c r="M12" i="2" s="1"/>
  <c r="B12" i="2"/>
  <c r="L12" i="2" s="1"/>
  <c r="C11" i="2"/>
  <c r="M11" i="2" s="1"/>
  <c r="B11" i="2"/>
  <c r="L11" i="2" s="1"/>
  <c r="C6" i="2"/>
  <c r="M6" i="2" s="1"/>
  <c r="B6" i="2"/>
  <c r="L6" i="2" s="1"/>
  <c r="C5" i="2"/>
  <c r="M5" i="2" s="1"/>
  <c r="B5" i="2"/>
  <c r="L5" i="2" s="1"/>
  <c r="C4" i="2"/>
  <c r="M4" i="2" s="1"/>
  <c r="B4" i="2"/>
  <c r="L4" i="2" s="1"/>
</calcChain>
</file>

<file path=xl/sharedStrings.xml><?xml version="1.0" encoding="utf-8"?>
<sst xmlns="http://schemas.openxmlformats.org/spreadsheetml/2006/main" count="462" uniqueCount="350">
  <si>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</si>
  <si>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</si>
  <si>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</si>
  <si>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</si>
  <si>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</si>
  <si>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</si>
  <si>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</si>
  <si>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</si>
  <si>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</si>
  <si>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</si>
  <si>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item_cfg——包含游戏中所有物品。</t>
  </si>
  <si>
    <t>name</t>
  </si>
  <si>
    <t>value</t>
  </si>
  <si>
    <t>unexport</t>
  </si>
  <si>
    <t>string</t>
  </si>
  <si>
    <t>常量名</t>
  </si>
  <si>
    <t>常量值,注意单元格格式文本</t>
  </si>
  <si>
    <t>描述</t>
  </si>
  <si>
    <t>ITEM_SKILL</t>
  </si>
  <si>
    <t>技能，显示在背包内的分类----技能</t>
  </si>
  <si>
    <t>ITEM_GIFT</t>
  </si>
  <si>
    <t>礼包，显示在背包内的分类----道具</t>
  </si>
  <si>
    <t>ITEM_DEBRIS</t>
  </si>
  <si>
    <t>碎片，显示在背包内的分类----碎片</t>
  </si>
  <si>
    <t>ITEM_MIX</t>
  </si>
  <si>
    <t>可合成道具，显示在背包内的分类----道具</t>
  </si>
  <si>
    <t>ITEM_TOKEN</t>
  </si>
  <si>
    <t>代币，显示在背包内的分类----道具</t>
  </si>
  <si>
    <t>item_key</t>
  </si>
  <si>
    <t>description</t>
  </si>
  <si>
    <t>type</t>
  </si>
  <si>
    <t>id</t>
  </si>
  <si>
    <t>saleprice</t>
  </si>
  <si>
    <t>dropid</t>
  </si>
  <si>
    <t>level</t>
  </si>
  <si>
    <t>icon</t>
  </si>
  <si>
    <t>key</t>
  </si>
  <si>
    <t>int</t>
  </si>
  <si>
    <t>物品名称</t>
  </si>
  <si>
    <t>物品描述</t>
  </si>
  <si>
    <t>该类型对应id，-1无意义</t>
  </si>
  <si>
    <t>售价金币</t>
  </si>
  <si>
    <t>奖励id</t>
  </si>
  <si>
    <t>需要等级</t>
  </si>
  <si>
    <t>显示图标</t>
  </si>
  <si>
    <t>名称</t>
  </si>
  <si>
    <t>i000</t>
  </si>
  <si>
    <t>gold3</t>
  </si>
  <si>
    <t>i001</t>
  </si>
  <si>
    <t>i002</t>
  </si>
  <si>
    <t>zuanshi</t>
  </si>
  <si>
    <t>i011</t>
  </si>
  <si>
    <t>skill_02</t>
  </si>
  <si>
    <t>i012</t>
  </si>
  <si>
    <t>skill_01</t>
  </si>
  <si>
    <t>i013</t>
  </si>
  <si>
    <t>skill_04</t>
  </si>
  <si>
    <t>i014</t>
  </si>
  <si>
    <t>skill_03</t>
  </si>
  <si>
    <t>i015</t>
  </si>
  <si>
    <t>hedan1</t>
  </si>
  <si>
    <t>i016</t>
  </si>
  <si>
    <t>hedan2</t>
  </si>
  <si>
    <t>i017</t>
  </si>
  <si>
    <t>hedan3</t>
  </si>
  <si>
    <t>i051</t>
  </si>
  <si>
    <t>i101</t>
  </si>
  <si>
    <t>i102</t>
  </si>
  <si>
    <t>huoyueduicon</t>
  </si>
  <si>
    <t>i103</t>
  </si>
  <si>
    <t>item_01</t>
  </si>
  <si>
    <t>i110</t>
  </si>
  <si>
    <t>coincatch</t>
  </si>
  <si>
    <t>i111</t>
  </si>
  <si>
    <t>crazyfugu</t>
  </si>
  <si>
    <t>i200</t>
  </si>
  <si>
    <t>100wanbb</t>
  </si>
  <si>
    <t>i210</t>
  </si>
  <si>
    <t>1wjbkicon</t>
  </si>
  <si>
    <t>i211</t>
  </si>
  <si>
    <t>10wjbkicon</t>
  </si>
  <si>
    <t>i212</t>
  </si>
  <si>
    <t>100wjbkicon</t>
  </si>
  <si>
    <t>i213</t>
  </si>
  <si>
    <t>1000wjbkicon</t>
  </si>
  <si>
    <t>i214</t>
  </si>
  <si>
    <t>1yjbkicon</t>
  </si>
  <si>
    <t>i220</t>
  </si>
  <si>
    <t>gifts</t>
  </si>
  <si>
    <t>i230</t>
  </si>
  <si>
    <t>i401</t>
  </si>
  <si>
    <t>i402</t>
  </si>
  <si>
    <t>i403</t>
  </si>
  <si>
    <t>hdsp</t>
  </si>
  <si>
    <t>i500</t>
  </si>
  <si>
    <t>yunshiicon</t>
  </si>
  <si>
    <t>i501</t>
  </si>
  <si>
    <t>i502</t>
  </si>
  <si>
    <t>i503</t>
  </si>
  <si>
    <t>i504</t>
  </si>
  <si>
    <t>i505</t>
  </si>
  <si>
    <t>i601</t>
  </si>
  <si>
    <t>sjysp</t>
  </si>
  <si>
    <t>i602</t>
  </si>
  <si>
    <t>dbssp</t>
  </si>
  <si>
    <t>i603</t>
  </si>
  <si>
    <t>xcysp</t>
  </si>
  <si>
    <t>i604</t>
  </si>
  <si>
    <t>hjsp</t>
  </si>
  <si>
    <t>i605</t>
  </si>
  <si>
    <t>htsp</t>
  </si>
  <si>
    <t>i607</t>
  </si>
  <si>
    <t>jdsp</t>
  </si>
  <si>
    <t>i608</t>
  </si>
  <si>
    <t>mgysp</t>
  </si>
  <si>
    <t>i609</t>
  </si>
  <si>
    <t>ctssp</t>
  </si>
  <si>
    <t>i610</t>
  </si>
  <si>
    <t>cmysp</t>
  </si>
  <si>
    <t>i611</t>
  </si>
  <si>
    <t>smsp</t>
  </si>
  <si>
    <t>i612</t>
  </si>
  <si>
    <t>hgsp</t>
  </si>
  <si>
    <t>i613</t>
  </si>
  <si>
    <t>lbsysp</t>
  </si>
  <si>
    <t>i614</t>
  </si>
  <si>
    <t>dhbysp</t>
  </si>
  <si>
    <t>i615</t>
  </si>
  <si>
    <t>bffsp</t>
  </si>
  <si>
    <t>i616</t>
  </si>
  <si>
    <t>jjysp</t>
  </si>
  <si>
    <t>i617</t>
  </si>
  <si>
    <t>ylsp</t>
  </si>
  <si>
    <t>i618</t>
  </si>
  <si>
    <t>htsp_1</t>
  </si>
  <si>
    <t>i620</t>
  </si>
  <si>
    <t>hgjjsp</t>
  </si>
  <si>
    <t>i621</t>
  </si>
  <si>
    <t>bzysp</t>
  </si>
  <si>
    <t>i622</t>
  </si>
  <si>
    <t>mrysp</t>
  </si>
  <si>
    <t>i623</t>
  </si>
  <si>
    <t>dnysp</t>
  </si>
  <si>
    <t>i624</t>
  </si>
  <si>
    <t>ppsysp</t>
  </si>
  <si>
    <t>i626</t>
  </si>
  <si>
    <t>dysp</t>
  </si>
  <si>
    <t>i632</t>
  </si>
  <si>
    <t>cqysp</t>
  </si>
  <si>
    <t>i639</t>
  </si>
  <si>
    <t>jysp</t>
  </si>
  <si>
    <t>i649</t>
  </si>
  <si>
    <t>zysp</t>
  </si>
  <si>
    <t>i651</t>
  </si>
  <si>
    <t>sjlgsp</t>
  </si>
  <si>
    <t>i657</t>
  </si>
  <si>
    <t>hmsp</t>
  </si>
  <si>
    <t>i700</t>
  </si>
  <si>
    <t>nsspicon_1</t>
  </si>
  <si>
    <t>i701</t>
  </si>
  <si>
    <t>nsspicon_2</t>
  </si>
  <si>
    <t>i702</t>
  </si>
  <si>
    <t>nsspicon_3</t>
  </si>
  <si>
    <t>i703</t>
  </si>
  <si>
    <t>i704</t>
  </si>
  <si>
    <t>i705</t>
  </si>
  <si>
    <t>i706</t>
  </si>
  <si>
    <t>i707</t>
  </si>
  <si>
    <t>i708</t>
  </si>
  <si>
    <t>i709</t>
  </si>
  <si>
    <t>count</t>
  </si>
  <si>
    <t>gold</t>
  </si>
  <si>
    <t>mixid</t>
  </si>
  <si>
    <t>需要道具id</t>
  </si>
  <si>
    <t>需要数量</t>
  </si>
  <si>
    <t>合成费用</t>
  </si>
  <si>
    <t>合成道具id</t>
  </si>
  <si>
    <t>key值</t>
    <phoneticPr fontId="5" type="noConversion"/>
  </si>
  <si>
    <t>int</t>
    <phoneticPr fontId="5" type="noConversion"/>
  </si>
  <si>
    <r>
      <t>i</t>
    </r>
    <r>
      <rPr>
        <sz val="11"/>
        <color theme="1"/>
        <rFont val="宋体"/>
        <family val="3"/>
        <charset val="134"/>
        <scheme val="minor"/>
      </rPr>
      <t>500</t>
    </r>
    <phoneticPr fontId="5" type="noConversion"/>
  </si>
  <si>
    <t>i501</t>
    <phoneticPr fontId="5" type="noConversion"/>
  </si>
  <si>
    <t>hdsp_2</t>
    <phoneticPr fontId="5" type="noConversion"/>
  </si>
  <si>
    <t>hdsp_1</t>
    <phoneticPr fontId="5" type="noConversion"/>
  </si>
  <si>
    <t>anzhishiicon</t>
  </si>
  <si>
    <t>dianzhishiicon</t>
  </si>
  <si>
    <t>dizhishiicon</t>
  </si>
  <si>
    <t>huozhishiicon</t>
  </si>
  <si>
    <t>xuezhishiicon</t>
  </si>
  <si>
    <t>i240</t>
    <phoneticPr fontId="5" type="noConversion"/>
  </si>
  <si>
    <t>i251</t>
    <phoneticPr fontId="5" type="noConversion"/>
  </si>
  <si>
    <t>i252</t>
  </si>
  <si>
    <t>i253</t>
  </si>
  <si>
    <t>i254</t>
  </si>
  <si>
    <t>i255</t>
  </si>
  <si>
    <t>i256</t>
  </si>
  <si>
    <t>i257</t>
  </si>
  <si>
    <t>i800</t>
    <phoneticPr fontId="5" type="noConversion"/>
  </si>
  <si>
    <t>i801</t>
    <phoneticPr fontId="5" type="noConversion"/>
  </si>
  <si>
    <t>i003</t>
    <phoneticPr fontId="5" type="noConversion"/>
  </si>
  <si>
    <t>实物，显示在背包内的分类----道具</t>
    <phoneticPr fontId="5" type="noConversion"/>
  </si>
  <si>
    <t>i811</t>
    <phoneticPr fontId="5" type="noConversion"/>
  </si>
  <si>
    <t>i812</t>
  </si>
  <si>
    <t>i813</t>
  </si>
  <si>
    <t>i814</t>
  </si>
  <si>
    <t>i400</t>
    <phoneticPr fontId="5" type="noConversion"/>
  </si>
  <si>
    <t>dhqicon</t>
  </si>
  <si>
    <t>mghicon</t>
    <phoneticPr fontId="5" type="noConversion"/>
  </si>
  <si>
    <t>flptxdicon</t>
  </si>
  <si>
    <t>xmjhqicon</t>
  </si>
  <si>
    <t>oppor9icon</t>
  </si>
  <si>
    <t>iphone7icon</t>
  </si>
  <si>
    <t>话费卡，不显示在背包内的分类</t>
    <phoneticPr fontId="5" type="noConversion"/>
  </si>
  <si>
    <t>i300</t>
    <phoneticPr fontId="5" type="noConversion"/>
  </si>
  <si>
    <t>i301</t>
  </si>
  <si>
    <t>i302</t>
  </si>
  <si>
    <t>i303</t>
  </si>
  <si>
    <t>i304</t>
  </si>
  <si>
    <t>i305</t>
  </si>
  <si>
    <t>qixi02</t>
  </si>
  <si>
    <t>qixi03</t>
  </si>
  <si>
    <t>qixi04</t>
  </si>
  <si>
    <t>qixi05</t>
  </si>
  <si>
    <t>qixi06</t>
  </si>
  <si>
    <t>i300</t>
    <phoneticPr fontId="5" type="noConversion"/>
  </si>
  <si>
    <t>i305</t>
    <phoneticPr fontId="5" type="noConversion"/>
  </si>
  <si>
    <t>qixi01</t>
  </si>
  <si>
    <t>qixi07</t>
  </si>
  <si>
    <t>qixi09</t>
  </si>
  <si>
    <t>qixi08</t>
  </si>
  <si>
    <t>i005</t>
    <phoneticPr fontId="5" type="noConversion"/>
  </si>
  <si>
    <t>i006</t>
    <phoneticPr fontId="5" type="noConversion"/>
  </si>
  <si>
    <t>laba</t>
    <phoneticPr fontId="5" type="noConversion"/>
  </si>
  <si>
    <t>i410</t>
    <phoneticPr fontId="5" type="noConversion"/>
  </si>
  <si>
    <t>w001</t>
    <phoneticPr fontId="5" type="noConversion"/>
  </si>
  <si>
    <t>w002</t>
    <phoneticPr fontId="5" type="noConversion"/>
  </si>
  <si>
    <t>w003</t>
  </si>
  <si>
    <t>w004</t>
  </si>
  <si>
    <t>w005</t>
  </si>
  <si>
    <t>w006</t>
  </si>
  <si>
    <t>w007</t>
  </si>
  <si>
    <t>w008</t>
  </si>
  <si>
    <t>w009</t>
  </si>
  <si>
    <t>w010</t>
  </si>
  <si>
    <t>w011</t>
  </si>
  <si>
    <t>w012</t>
  </si>
  <si>
    <t>w013</t>
  </si>
  <si>
    <t>w014</t>
  </si>
  <si>
    <t>w015</t>
  </si>
  <si>
    <t>w501</t>
    <phoneticPr fontId="5" type="noConversion"/>
  </si>
  <si>
    <t>w502</t>
    <phoneticPr fontId="5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</si>
  <si>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</si>
  <si>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</si>
  <si>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</si>
  <si>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</si>
  <si>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</si>
  <si>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</si>
  <si>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</si>
  <si>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</si>
  <si>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</si>
  <si>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</si>
  <si>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</si>
  <si>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</si>
  <si>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</si>
  <si>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调整</t>
    <phoneticPr fontId="5" type="noConversion"/>
  </si>
  <si>
    <t>道具</t>
    <phoneticPr fontId="5" type="noConversion"/>
  </si>
  <si>
    <t>碎片</t>
    <phoneticPr fontId="5" type="noConversion"/>
  </si>
  <si>
    <t>武器</t>
    <phoneticPr fontId="5" type="noConversion"/>
  </si>
  <si>
    <t>i215</t>
    <phoneticPr fontId="5" type="noConversion"/>
  </si>
  <si>
    <t>sjjbkicon</t>
    <phoneticPr fontId="5" type="noConversion"/>
  </si>
  <si>
    <t>i410</t>
    <phoneticPr fontId="5" type="noConversion"/>
  </si>
  <si>
    <t>meigui2</t>
    <phoneticPr fontId="5" type="noConversion"/>
  </si>
  <si>
    <t>i310</t>
    <phoneticPr fontId="5" type="noConversion"/>
  </si>
  <si>
    <t>i311</t>
    <phoneticPr fontId="5" type="noConversion"/>
  </si>
  <si>
    <t>i312</t>
  </si>
  <si>
    <t>i313</t>
  </si>
  <si>
    <t>i314</t>
  </si>
  <si>
    <t>i315</t>
  </si>
  <si>
    <t>i316</t>
  </si>
  <si>
    <t>i317</t>
  </si>
  <si>
    <t>i318</t>
  </si>
  <si>
    <t>i315</t>
    <phoneticPr fontId="5" type="noConversion"/>
  </si>
  <si>
    <t>mianfen</t>
  </si>
  <si>
    <t>hongdou</t>
    <phoneticPr fontId="5" type="noConversion"/>
  </si>
  <si>
    <t>huotui</t>
  </si>
  <si>
    <t>lianzi</t>
  </si>
  <si>
    <t>shijing</t>
  </si>
  <si>
    <t>doushayuebing</t>
  </si>
  <si>
    <t>huotuiyuebing</t>
  </si>
  <si>
    <t>lianrongyuebing</t>
  </si>
  <si>
    <t>baihuashijing</t>
  </si>
  <si>
    <t>i319</t>
  </si>
  <si>
    <t>ptpficon</t>
  </si>
  <si>
    <t>empficon</t>
  </si>
  <si>
    <t>tspficon</t>
  </si>
  <si>
    <t>dcpficon</t>
  </si>
  <si>
    <t>ryjppficon</t>
  </si>
  <si>
    <t>jcpficon</t>
  </si>
  <si>
    <t>zjpficon</t>
  </si>
  <si>
    <t>pptpficon</t>
  </si>
  <si>
    <t>hjjtlpficon</t>
  </si>
  <si>
    <t>xjglpficon</t>
  </si>
  <si>
    <t>dwjypficon</t>
  </si>
  <si>
    <t>szaspficon</t>
  </si>
  <si>
    <t>cynspficon</t>
  </si>
  <si>
    <t>qian20icon</t>
  </si>
  <si>
    <t>i319</t>
    <phoneticPr fontId="5" type="noConversion"/>
  </si>
  <si>
    <t>显示在背包内的分类----道具</t>
    <phoneticPr fontId="5" type="noConversion"/>
  </si>
  <si>
    <t>武器碎片</t>
    <phoneticPr fontId="5" type="noConversion"/>
  </si>
  <si>
    <t>suijishicai</t>
  </si>
  <si>
    <t>yueliangtusuipian</t>
  </si>
  <si>
    <t>qian20suipian</t>
  </si>
  <si>
    <t>yueliangtuicon</t>
  </si>
  <si>
    <t>nsspicon_4</t>
    <phoneticPr fontId="5" type="noConversion"/>
  </si>
  <si>
    <t>i420</t>
    <phoneticPr fontId="5" type="noConversion"/>
  </si>
  <si>
    <t>i420</t>
    <phoneticPr fontId="5" type="noConversion"/>
  </si>
  <si>
    <t>i212</t>
    <phoneticPr fontId="5" type="noConversion"/>
  </si>
  <si>
    <t>jbksp</t>
    <phoneticPr fontId="5" type="noConversion"/>
  </si>
  <si>
    <t>有效时长</t>
    <phoneticPr fontId="5" type="noConversion"/>
  </si>
  <si>
    <r>
      <t>i</t>
    </r>
    <r>
      <rPr>
        <sz val="11"/>
        <color indexed="8"/>
        <rFont val="微软雅黑"/>
        <family val="2"/>
        <charset val="134"/>
      </rPr>
      <t>nt</t>
    </r>
    <phoneticPr fontId="5" type="noConversion"/>
  </si>
  <si>
    <t>有效期类型</t>
    <phoneticPr fontId="5" type="noConversion"/>
  </si>
  <si>
    <t>lengthtype</t>
    <phoneticPr fontId="5" type="noConversion"/>
  </si>
  <si>
    <t>lengthtime</t>
    <phoneticPr fontId="5" type="noConversion"/>
  </si>
  <si>
    <t>i320</t>
    <phoneticPr fontId="5" type="noConversion"/>
  </si>
  <si>
    <t>i320</t>
    <phoneticPr fontId="5" type="noConversion"/>
  </si>
  <si>
    <t>nangua</t>
    <phoneticPr fontId="5" type="noConversion"/>
  </si>
  <si>
    <t>i321</t>
    <phoneticPr fontId="5" type="noConversion"/>
  </si>
  <si>
    <t>nangua_2</t>
    <phoneticPr fontId="5" type="noConversion"/>
  </si>
  <si>
    <t>i004</t>
    <phoneticPr fontId="5" type="noConversion"/>
  </si>
  <si>
    <t>i802</t>
  </si>
  <si>
    <t>i803</t>
  </si>
  <si>
    <t>i804</t>
  </si>
  <si>
    <t>i805</t>
  </si>
  <si>
    <t>i810</t>
    <phoneticPr fontId="5" type="noConversion"/>
  </si>
  <si>
    <t>i815</t>
  </si>
  <si>
    <t>i820</t>
    <phoneticPr fontId="5" type="noConversion"/>
  </si>
  <si>
    <t>i821</t>
    <phoneticPr fontId="5" type="noConversion"/>
  </si>
  <si>
    <t>i822</t>
  </si>
  <si>
    <t>i823</t>
  </si>
  <si>
    <t>i824</t>
  </si>
  <si>
    <t>i825</t>
  </si>
  <si>
    <t>i850</t>
    <phoneticPr fontId="5" type="noConversion"/>
  </si>
  <si>
    <t>i851</t>
    <phoneticPr fontId="5" type="noConversion"/>
  </si>
  <si>
    <t>i852</t>
    <phoneticPr fontId="5" type="noConversion"/>
  </si>
  <si>
    <t>i853</t>
    <phoneticPr fontId="5" type="noConversion"/>
  </si>
  <si>
    <t>10.000D</t>
    <phoneticPr fontId="5" type="noConversion"/>
  </si>
  <si>
    <t>20.000D</t>
    <phoneticPr fontId="5" type="noConversion"/>
  </si>
  <si>
    <t>50.000D</t>
    <phoneticPr fontId="5" type="noConversion"/>
  </si>
  <si>
    <t>100.000D</t>
    <phoneticPr fontId="5" type="noConversion"/>
  </si>
  <si>
    <t>200.000D</t>
    <phoneticPr fontId="5" type="noConversion"/>
  </si>
  <si>
    <t>500.000D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</si>
</sst>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33">
    <xf numFmtId="0" fontId="0" fillId="0" borderId="0" xfId="0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 applyProtection="1">
      <alignment horizontal="center"/>
    </xf>
    <xf numFmtId="0" fontId="2" fillId="0" borderId="0" xfId="0" applyFont="1" applyFill="1" applyAlignment="1">
      <alignment horizontal="left" vertical="center"/>
    </xf>
    <xf numFmtId="0" fontId="2" fillId="0" borderId="0" xfId="0" applyNumberFormat="1" applyFont="1" applyFill="1" applyAlignment="1">
      <alignment horizontal="left" vertical="center"/>
    </xf>
    <xf numFmtId="0" fontId="3" fillId="0" borderId="0" xfId="0" applyFont="1"/>
    <xf numFmtId="0" fontId="2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5" xfId="1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right"/>
    </xf>
    <xf numFmtId="49" fontId="6" fillId="2" borderId="1" xfId="0" applyNumberFormat="1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0" fontId="8" fillId="0" borderId="0" xfId="0" applyFont="1"/>
    <xf numFmtId="49" fontId="6" fillId="3" borderId="2" xfId="0" applyNumberFormat="1" applyFont="1" applyFill="1" applyBorder="1" applyAlignment="1">
      <alignment horizontal="right" vertical="center"/>
    </xf>
    <xf numFmtId="49" fontId="6" fillId="3" borderId="2" xfId="0" applyNumberFormat="1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8" fillId="0" borderId="4" xfId="0" applyFont="1" applyBorder="1"/>
    <xf numFmtId="0" fontId="11" fillId="0" borderId="0" xfId="0" applyFont="1"/>
    <xf numFmtId="0" fontId="12" fillId="0" borderId="0" xfId="0" applyFont="1" applyAlignment="1">
      <alignment vertical="center"/>
    </xf>
    <xf numFmtId="0" fontId="13" fillId="0" borderId="0" xfId="0" applyNumberFormat="1" applyFont="1"/>
    <xf numFmtId="0" fontId="13" fillId="0" borderId="0" xfId="0" applyFont="1"/>
    <xf numFmtId="0" fontId="11" fillId="0" borderId="0" xfId="0" applyFont="1" applyBorder="1" applyAlignment="1">
      <alignment vertical="center"/>
    </xf>
    <xf numFmtId="0" fontId="11" fillId="0" borderId="0" xfId="0" applyFont="1" applyAlignment="1"/>
    <xf numFmtId="0" fontId="12" fillId="0" borderId="0" xfId="0" applyFont="1" applyAlignment="1"/>
    <xf numFmtId="0" fontId="4" fillId="0" borderId="0" xfId="0" applyFont="1"/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</cellXfs>
  <cellStyles count="2">
    <cellStyle name="常规" xfId="0" builtinId="0"/>
    <cellStyle name="常规 2" xfId="1" xr:uid="{00000000-0005-0000-0000-000001000000}"/>
  </cellStyles>
  <dxfs count="15"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314325</xdr:colOff>
      <xdr:row>2</xdr:row>
      <xdr:rowOff>95250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C0076D2D-2247-4828-B7B2-007348FC7109}"/>
            </a:ext>
          </a:extLst>
        </xdr:cNvPr>
        <xdr:cNvSpPr/>
      </xdr:nvSpPr>
      <xdr:spPr>
        <a:xfrm>
          <a:off x="0" y="0"/>
          <a:ext cx="314325" cy="5238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翻译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2" displayName="表2" ref="A3:D12" totalsRowShown="0">
  <autoFilter ref="A3:D12" xr:uid="{00000000-0009-0000-0100-000003000000}"/>
  <tableColumns count="4">
    <tableColumn id="1" xr3:uid="{00000000-0010-0000-0000-000001000000}" name="常量名"/>
    <tableColumn id="2" xr3:uid="{00000000-0010-0000-0000-000002000000}" name="常量值,注意单元格格式文本"/>
    <tableColumn id="3" xr3:uid="{00000000-0010-0000-0000-000003000000}" name="描述"/>
    <tableColumn id="4" xr3:uid="{16506162-25AC-4B42-B55F-E2769607E651}" name="调整" dataDxfId="14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M160" totalsRowShown="0" dataDxfId="13">
  <autoFilter ref="A3:M160" xr:uid="{00000000-0009-0000-0100-000001000000}"/>
  <tableColumns count="13">
    <tableColumn id="1" xr3:uid="{00000000-0010-0000-0100-000001000000}" name="key值" dataDxfId="12"/>
    <tableColumn id="2" xr3:uid="{00000000-0010-0000-0100-000002000000}" name="物品名称" dataDxfId="11">
      <calculatedColumnFormula>"item_name_"&amp;表1[[#This Row],[key值]]</calculatedColumnFormula>
    </tableColumn>
    <tableColumn id="3" xr3:uid="{00000000-0010-0000-0100-000003000000}" name="物品描述" dataDxfId="10">
      <calculatedColumnFormula>"item_desc_"&amp;表1[[#This Row],[key值]]</calculatedColumnFormula>
    </tableColumn>
    <tableColumn id="4" xr3:uid="{00000000-0010-0000-0100-000004000000}" name="类型" dataDxfId="9"/>
    <tableColumn id="5" xr3:uid="{00000000-0010-0000-0100-000005000000}" name="该类型对应id，-1无意义" dataDxfId="8"/>
    <tableColumn id="6" xr3:uid="{00000000-0010-0000-0100-000006000000}" name="售价金币" dataDxfId="7"/>
    <tableColumn id="7" xr3:uid="{00000000-0010-0000-0100-000007000000}" name="奖励id" dataDxfId="6"/>
    <tableColumn id="8" xr3:uid="{00000000-0010-0000-0100-000008000000}" name="需要等级" dataDxfId="5"/>
    <tableColumn id="9" xr3:uid="{00000000-0010-0000-0100-000009000000}" name="显示图标" dataDxfId="4"/>
    <tableColumn id="12" xr3:uid="{308F0B51-BD71-4389-8341-03B521D6F142}" name="有效期类型" dataDxfId="3"/>
    <tableColumn id="13" xr3:uid="{2B36894C-F459-469E-A15A-332BD32DE036}" name="有效时长" dataDxfId="2"/>
    <tableColumn id="10" xr3:uid="{00000000-0010-0000-0100-00000A000000}" name="名称" dataDxfId="1">
      <calculatedColumnFormula>VLOOKUP(表1[[#This Row],[物品名称]],[1]!表1[#Data],2,FALSE)</calculatedColumnFormula>
    </tableColumn>
    <tableColumn id="11" xr3:uid="{00000000-0010-0000-0100-00000B000000}" name="描述" dataDxfId="0">
      <calculatedColumnFormula>VLOOKUP(表1[[#This Row],[物品描述]],[1]!表1[#Data],2,FALSE)</calculatedColumnFormula>
    </tableColumn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_3" displayName="表2_3" ref="A3:D12" totalsRowShown="0">
  <autoFilter ref="A3:D12" xr:uid="{00000000-0009-0000-0100-000002000000}"/>
  <tableColumns count="4">
    <tableColumn id="1" xr3:uid="{00000000-0010-0000-0200-000001000000}" name="需要道具id"/>
    <tableColumn id="2" xr3:uid="{00000000-0010-0000-0200-000002000000}" name="需要数量"/>
    <tableColumn id="3" xr3:uid="{00000000-0010-0000-0200-000003000000}" name="合成费用"/>
    <tableColumn id="4" xr3:uid="{00000000-0010-0000-0200-000004000000}" name="合成道具id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24" sqref="A24:B24"/>
    </sheetView>
  </sheetViews>
  <sheetFormatPr defaultColWidth="9" defaultRowHeight="13.5" x14ac:dyDescent="0.15"/>
  <cols>
    <col min="1" max="1" width="39.5" style="7" customWidth="1"/>
    <col min="2" max="2" width="85.125" style="7" customWidth="1"/>
    <col min="3" max="16384" width="9" style="7"/>
  </cols>
  <sheetData>
    <row r="1" spans="1:2" ht="16.5" x14ac:dyDescent="0.3">
      <c r="A1" s="8" t="s">
        <v>0</v>
      </c>
      <c r="B1" s="7" t="s">
        <v>1</v>
      </c>
    </row>
    <row r="2" spans="1:2" ht="16.5" x14ac:dyDescent="0.15">
      <c r="A2" s="9" t="s">
        <v>2</v>
      </c>
      <c r="B2" s="7" t="s">
        <v>3</v>
      </c>
    </row>
    <row r="3" spans="1:2" ht="16.5" x14ac:dyDescent="0.3">
      <c r="A3" s="10" t="s">
        <v>4</v>
      </c>
      <c r="B3" s="7" t="s">
        <v>5</v>
      </c>
    </row>
    <row r="4" spans="1:2" ht="16.5" x14ac:dyDescent="0.15">
      <c r="A4" s="11" t="s">
        <v>6</v>
      </c>
      <c r="B4" s="7" t="s">
        <v>7</v>
      </c>
    </row>
    <row r="6" spans="1:2" x14ac:dyDescent="0.15">
      <c r="A6" s="31" t="s">
        <v>8</v>
      </c>
      <c r="B6" s="32"/>
    </row>
    <row r="7" spans="1:2" x14ac:dyDescent="0.15">
      <c r="A7" s="32"/>
      <c r="B7" s="32"/>
    </row>
    <row r="8" spans="1:2" x14ac:dyDescent="0.15">
      <c r="A8" s="32"/>
      <c r="B8" s="32"/>
    </row>
    <row r="9" spans="1:2" x14ac:dyDescent="0.15">
      <c r="A9" s="32"/>
      <c r="B9" s="32"/>
    </row>
    <row r="10" spans="1:2" x14ac:dyDescent="0.15">
      <c r="A10" s="32"/>
      <c r="B10" s="32"/>
    </row>
    <row r="11" spans="1:2" x14ac:dyDescent="0.15">
      <c r="A11" s="32"/>
      <c r="B11" s="32"/>
    </row>
    <row r="12" spans="1:2" x14ac:dyDescent="0.15">
      <c r="A12" s="32"/>
      <c r="B12" s="32"/>
    </row>
    <row r="13" spans="1:2" x14ac:dyDescent="0.15">
      <c r="A13" s="32"/>
      <c r="B13" s="32"/>
    </row>
    <row r="14" spans="1:2" x14ac:dyDescent="0.15">
      <c r="A14" s="32"/>
      <c r="B14" s="32"/>
    </row>
    <row r="15" spans="1:2" x14ac:dyDescent="0.15">
      <c r="A15" s="32"/>
      <c r="B15" s="32"/>
    </row>
    <row r="16" spans="1:2" ht="13.15" customHeight="1" x14ac:dyDescent="0.15">
      <c r="A16" s="32"/>
      <c r="B16" s="32"/>
    </row>
    <row r="17" spans="1:2" ht="4.1500000000000004" customHeight="1" x14ac:dyDescent="0.15">
      <c r="A17" s="32"/>
      <c r="B17" s="32"/>
    </row>
    <row r="18" spans="1:2" hidden="1" x14ac:dyDescent="0.15">
      <c r="A18" s="32"/>
      <c r="B18" s="32"/>
    </row>
    <row r="19" spans="1:2" hidden="1" x14ac:dyDescent="0.15">
      <c r="A19" s="32"/>
      <c r="B19" s="32"/>
    </row>
    <row r="20" spans="1:2" hidden="1" x14ac:dyDescent="0.15">
      <c r="A20" s="32"/>
      <c r="B20" s="32"/>
    </row>
    <row r="21" spans="1:2" ht="22.9" customHeight="1" x14ac:dyDescent="0.15">
      <c r="A21" s="32"/>
      <c r="B21" s="32"/>
    </row>
    <row r="22" spans="1:2" ht="45" customHeight="1" x14ac:dyDescent="0.15">
      <c r="A22" s="32"/>
      <c r="B22" s="32"/>
    </row>
    <row r="23" spans="1:2" ht="51" hidden="1" customHeight="1" x14ac:dyDescent="0.15">
      <c r="A23" s="32"/>
      <c r="B23" s="32"/>
    </row>
    <row r="24" spans="1:2" x14ac:dyDescent="0.15">
      <c r="A24" s="30" t="s">
        <v>9</v>
      </c>
      <c r="B24" s="30"/>
    </row>
    <row r="25" spans="1:2" x14ac:dyDescent="0.15">
      <c r="A25" s="30" t="s">
        <v>10</v>
      </c>
      <c r="B25" s="30"/>
    </row>
    <row r="26" spans="1:2" x14ac:dyDescent="0.15">
      <c r="A26" s="30"/>
      <c r="B26" s="30"/>
    </row>
    <row r="27" spans="1:2" x14ac:dyDescent="0.15">
      <c r="A27" s="30"/>
      <c r="B27" s="30"/>
    </row>
    <row r="28" spans="1:2" x14ac:dyDescent="0.15">
      <c r="A28" s="30"/>
      <c r="B28" s="30"/>
    </row>
    <row r="29" spans="1:2" x14ac:dyDescent="0.15">
      <c r="A29" s="30"/>
      <c r="B29" s="30"/>
    </row>
    <row r="30" spans="1:2" x14ac:dyDescent="0.15">
      <c r="A30" s="30"/>
      <c r="B30" s="30"/>
    </row>
    <row r="31" spans="1:2" x14ac:dyDescent="0.15">
      <c r="A31" s="30"/>
      <c r="B31" s="30"/>
    </row>
    <row r="32" spans="1:2" x14ac:dyDescent="0.15">
      <c r="A32" s="30"/>
      <c r="B32" s="30"/>
    </row>
    <row r="33" spans="1:2" x14ac:dyDescent="0.15">
      <c r="A33" s="30"/>
      <c r="B33" s="30"/>
    </row>
    <row r="34" spans="1:2" x14ac:dyDescent="0.15">
      <c r="A34" s="30"/>
      <c r="B34" s="30"/>
    </row>
    <row r="35" spans="1:2" x14ac:dyDescent="0.15">
      <c r="A35" s="30"/>
      <c r="B35" s="30"/>
    </row>
    <row r="36" spans="1:2" x14ac:dyDescent="0.15">
      <c r="A36" s="30"/>
      <c r="B36" s="30"/>
    </row>
    <row r="37" spans="1:2" x14ac:dyDescent="0.15">
      <c r="A37" s="30"/>
      <c r="B37" s="30"/>
    </row>
    <row r="38" spans="1:2" x14ac:dyDescent="0.15">
      <c r="A38" s="30"/>
      <c r="B38" s="30"/>
    </row>
    <row r="39" spans="1:2" x14ac:dyDescent="0.15">
      <c r="A39" s="30"/>
      <c r="B39" s="30"/>
    </row>
    <row r="40" spans="1:2" x14ac:dyDescent="0.15">
      <c r="A40" s="30"/>
      <c r="B40" s="30"/>
    </row>
    <row r="41" spans="1:2" x14ac:dyDescent="0.15">
      <c r="A41" s="30"/>
      <c r="B41" s="30"/>
    </row>
    <row r="42" spans="1:2" x14ac:dyDescent="0.15">
      <c r="A42" s="30"/>
      <c r="B42" s="30"/>
    </row>
    <row r="43" spans="1:2" x14ac:dyDescent="0.15">
      <c r="A43" s="30"/>
      <c r="B43" s="30"/>
    </row>
    <row r="44" spans="1:2" x14ac:dyDescent="0.15">
      <c r="A44" s="30"/>
      <c r="B44" s="30"/>
    </row>
    <row r="45" spans="1:2" x14ac:dyDescent="0.15">
      <c r="A45" s="30"/>
      <c r="B45" s="30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"/>
  <sheetViews>
    <sheetView workbookViewId="0">
      <selection activeCell="D13" sqref="D13"/>
    </sheetView>
  </sheetViews>
  <sheetFormatPr defaultColWidth="8.875" defaultRowHeight="16.5" x14ac:dyDescent="0.3"/>
  <cols>
    <col min="1" max="1" width="16.5" style="6" customWidth="1"/>
    <col min="2" max="2" width="23.25" style="6" customWidth="1"/>
    <col min="3" max="3" width="40.375" style="6" customWidth="1"/>
    <col min="4" max="16384" width="8.875" style="6"/>
  </cols>
  <sheetData>
    <row r="1" spans="1:4" x14ac:dyDescent="0.3">
      <c r="A1" s="1" t="s">
        <v>11</v>
      </c>
      <c r="B1" s="1" t="s">
        <v>12</v>
      </c>
      <c r="C1" s="1" t="s">
        <v>13</v>
      </c>
    </row>
    <row r="2" spans="1:4" x14ac:dyDescent="0.3">
      <c r="A2" s="2" t="s">
        <v>14</v>
      </c>
      <c r="B2" s="2" t="s">
        <v>178</v>
      </c>
      <c r="C2" s="2" t="s">
        <v>13</v>
      </c>
    </row>
    <row r="3" spans="1:4" x14ac:dyDescent="0.3">
      <c r="A3" s="3" t="s">
        <v>15</v>
      </c>
      <c r="B3" s="3" t="s">
        <v>16</v>
      </c>
      <c r="C3" s="3" t="s">
        <v>17</v>
      </c>
      <c r="D3" s="6" t="s">
        <v>263</v>
      </c>
    </row>
    <row r="4" spans="1:4" x14ac:dyDescent="0.3">
      <c r="A4" s="4" t="s">
        <v>18</v>
      </c>
      <c r="B4" s="5">
        <v>3</v>
      </c>
      <c r="C4" s="4" t="s">
        <v>19</v>
      </c>
      <c r="D4" s="6" t="s">
        <v>264</v>
      </c>
    </row>
    <row r="5" spans="1:4" x14ac:dyDescent="0.3">
      <c r="A5" s="4" t="s">
        <v>20</v>
      </c>
      <c r="B5" s="5">
        <v>7</v>
      </c>
      <c r="C5" s="4" t="s">
        <v>21</v>
      </c>
      <c r="D5" s="6" t="s">
        <v>264</v>
      </c>
    </row>
    <row r="6" spans="1:4" x14ac:dyDescent="0.3">
      <c r="A6" s="4" t="s">
        <v>22</v>
      </c>
      <c r="B6" s="5">
        <v>4</v>
      </c>
      <c r="C6" s="4" t="s">
        <v>23</v>
      </c>
      <c r="D6" s="6" t="s">
        <v>265</v>
      </c>
    </row>
    <row r="7" spans="1:4" x14ac:dyDescent="0.3">
      <c r="A7" s="4" t="s">
        <v>24</v>
      </c>
      <c r="B7" s="5">
        <v>8</v>
      </c>
      <c r="C7" s="4" t="s">
        <v>25</v>
      </c>
      <c r="D7" s="6" t="s">
        <v>264</v>
      </c>
    </row>
    <row r="8" spans="1:4" x14ac:dyDescent="0.3">
      <c r="A8" s="4" t="s">
        <v>26</v>
      </c>
      <c r="B8" s="5">
        <v>9</v>
      </c>
      <c r="C8" s="4" t="s">
        <v>27</v>
      </c>
      <c r="D8" s="6" t="s">
        <v>264</v>
      </c>
    </row>
    <row r="9" spans="1:4" x14ac:dyDescent="0.3">
      <c r="A9" s="4" t="s">
        <v>26</v>
      </c>
      <c r="B9" s="5">
        <v>10</v>
      </c>
      <c r="C9" s="4" t="s">
        <v>211</v>
      </c>
    </row>
    <row r="10" spans="1:4" x14ac:dyDescent="0.3">
      <c r="A10" s="4" t="s">
        <v>26</v>
      </c>
      <c r="B10" s="5">
        <v>11</v>
      </c>
      <c r="C10" s="4" t="s">
        <v>199</v>
      </c>
      <c r="D10" s="6" t="s">
        <v>264</v>
      </c>
    </row>
    <row r="11" spans="1:4" x14ac:dyDescent="0.3">
      <c r="A11" s="4" t="s">
        <v>26</v>
      </c>
      <c r="B11" s="6">
        <v>12</v>
      </c>
      <c r="C11" s="4" t="s">
        <v>306</v>
      </c>
      <c r="D11" s="6" t="s">
        <v>266</v>
      </c>
    </row>
    <row r="12" spans="1:4" x14ac:dyDescent="0.3">
      <c r="A12" s="4" t="s">
        <v>26</v>
      </c>
      <c r="B12" s="6">
        <v>13</v>
      </c>
      <c r="C12" s="4" t="s">
        <v>306</v>
      </c>
      <c r="D12" s="6" t="s">
        <v>307</v>
      </c>
    </row>
  </sheetData>
  <phoneticPr fontId="5" type="noConversion"/>
  <dataValidations count="1">
    <dataValidation allowBlank="1" showInputMessage="1" showErrorMessage="1" prompt="1.金币_x000a_2.钻石_x000a_3.技能---需要放在背包内_x000a_5.代币_x000a_6.小游戏_x000a_7.礼包类--需要放在背包内_x000a_" sqref="A3" xr:uid="{00000000-0002-0000-0100-000000000000}"/>
  </dataValidations>
  <pageMargins left="0.69930555555555596" right="0.69930555555555596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60"/>
  <sheetViews>
    <sheetView tabSelected="1" workbookViewId="0">
      <pane xSplit="1" ySplit="3" topLeftCell="B46" activePane="bottomRight" state="frozenSplit"/>
      <selection pane="topRight" activeCell="B1" sqref="B1"/>
      <selection pane="bottomLeft" activeCell="A4" sqref="A4"/>
      <selection pane="bottomRight" activeCell="I50" sqref="I50"/>
    </sheetView>
  </sheetViews>
  <sheetFormatPr defaultColWidth="8.875" defaultRowHeight="16.5" x14ac:dyDescent="0.3"/>
  <cols>
    <col min="1" max="1" width="16.5" style="15" customWidth="1"/>
    <col min="2" max="3" width="14.125" style="15" bestFit="1" customWidth="1"/>
    <col min="4" max="4" width="7.75" style="15" bestFit="1" customWidth="1"/>
    <col min="5" max="5" width="23.25" style="15" customWidth="1"/>
    <col min="6" max="6" width="11.75" style="15" customWidth="1"/>
    <col min="7" max="7" width="10" style="15" bestFit="1" customWidth="1"/>
    <col min="8" max="8" width="11.75" style="15" customWidth="1"/>
    <col min="9" max="9" width="17.125" style="15" bestFit="1" customWidth="1"/>
    <col min="10" max="10" width="13.875" style="15" bestFit="1" customWidth="1"/>
    <col min="11" max="11" width="11.75" style="15" customWidth="1"/>
    <col min="12" max="12" width="19.5" style="15" customWidth="1"/>
    <col min="13" max="13" width="40.375" style="15" customWidth="1"/>
    <col min="14" max="16384" width="8.875" style="15"/>
  </cols>
  <sheetData>
    <row r="1" spans="1:13" ht="17.25" x14ac:dyDescent="0.35">
      <c r="A1" s="12" t="s">
        <v>28</v>
      </c>
      <c r="B1" s="13" t="s">
        <v>11</v>
      </c>
      <c r="C1" s="13" t="s">
        <v>29</v>
      </c>
      <c r="D1" s="13" t="s">
        <v>30</v>
      </c>
      <c r="E1" s="13" t="s">
        <v>31</v>
      </c>
      <c r="F1" s="13" t="s">
        <v>32</v>
      </c>
      <c r="G1" s="13" t="s">
        <v>33</v>
      </c>
      <c r="H1" s="13" t="s">
        <v>34</v>
      </c>
      <c r="I1" s="13" t="s">
        <v>35</v>
      </c>
      <c r="J1" s="1" t="s">
        <v>320</v>
      </c>
      <c r="K1" s="1" t="s">
        <v>321</v>
      </c>
      <c r="L1" s="14" t="s">
        <v>13</v>
      </c>
      <c r="M1" s="14" t="s">
        <v>13</v>
      </c>
    </row>
    <row r="2" spans="1:13" x14ac:dyDescent="0.3">
      <c r="A2" s="16" t="s">
        <v>36</v>
      </c>
      <c r="B2" s="17" t="s">
        <v>14</v>
      </c>
      <c r="C2" s="17" t="s">
        <v>14</v>
      </c>
      <c r="D2" s="17" t="s">
        <v>37</v>
      </c>
      <c r="E2" s="17" t="s">
        <v>37</v>
      </c>
      <c r="F2" s="17" t="s">
        <v>37</v>
      </c>
      <c r="G2" s="17" t="s">
        <v>14</v>
      </c>
      <c r="H2" s="17" t="s">
        <v>37</v>
      </c>
      <c r="I2" s="17" t="s">
        <v>14</v>
      </c>
      <c r="J2" s="2" t="s">
        <v>318</v>
      </c>
      <c r="K2" s="2" t="s">
        <v>318</v>
      </c>
      <c r="L2" s="18" t="s">
        <v>13</v>
      </c>
      <c r="M2" s="18" t="s">
        <v>13</v>
      </c>
    </row>
    <row r="3" spans="1:13" x14ac:dyDescent="0.3">
      <c r="A3" s="19" t="s">
        <v>177</v>
      </c>
      <c r="B3" s="20" t="s">
        <v>38</v>
      </c>
      <c r="C3" s="20" t="s">
        <v>39</v>
      </c>
      <c r="D3" s="20" t="s">
        <v>2</v>
      </c>
      <c r="E3" s="20" t="s">
        <v>40</v>
      </c>
      <c r="F3" s="20" t="s">
        <v>41</v>
      </c>
      <c r="G3" s="20" t="s">
        <v>42</v>
      </c>
      <c r="H3" s="20" t="s">
        <v>43</v>
      </c>
      <c r="I3" s="20" t="s">
        <v>44</v>
      </c>
      <c r="J3" s="29" t="s">
        <v>319</v>
      </c>
      <c r="K3" s="29" t="s">
        <v>317</v>
      </c>
      <c r="L3" s="21" t="s">
        <v>45</v>
      </c>
      <c r="M3" s="21" t="s">
        <v>17</v>
      </c>
    </row>
    <row r="4" spans="1:13" ht="17.25" x14ac:dyDescent="0.35">
      <c r="A4" s="22" t="s">
        <v>46</v>
      </c>
      <c r="B4" s="23" t="str">
        <f>"item_name_"&amp;表1[[#This Row],[key值]]</f>
        <v>item_name_i000</v>
      </c>
      <c r="C4" s="23" t="str">
        <f>"item_desc_"&amp;表1[[#This Row],[key值]]</f>
        <v>item_desc_i000</v>
      </c>
      <c r="D4" s="22">
        <v>7</v>
      </c>
      <c r="E4" s="22">
        <v>-1</v>
      </c>
      <c r="F4" s="22">
        <v>0</v>
      </c>
      <c r="G4" s="22" t="s">
        <v>46</v>
      </c>
      <c r="H4" s="22">
        <v>0</v>
      </c>
      <c r="I4" s="22" t="s">
        <v>47</v>
      </c>
      <c r="J4" s="22">
        <v>1</v>
      </c>
      <c r="K4" s="22">
        <v>90</v>
      </c>
      <c r="L4" s="24" t="str">
        <f>VLOOKUP(表1[[#This Row],[物品名称]],[1]!表1[#Data],2,FALSE)</f>
        <v>代号9527</v>
      </c>
      <c r="M4" s="24" t="str">
        <f>VLOOKUP(表1[[#This Row],[物品描述]],[1]!表1[#Data],2,FALSE)</f>
        <v>神秘家丁的狗牌，代号9527</v>
      </c>
    </row>
    <row r="5" spans="1:13" ht="17.25" x14ac:dyDescent="0.35">
      <c r="A5" s="22" t="s">
        <v>48</v>
      </c>
      <c r="B5" s="23" t="str">
        <f>"item_name_"&amp;表1[[#This Row],[key值]]</f>
        <v>item_name_i001</v>
      </c>
      <c r="C5" s="23" t="str">
        <f>"item_desc_"&amp;表1[[#This Row],[key值]]</f>
        <v>item_desc_i001</v>
      </c>
      <c r="D5" s="22">
        <v>1</v>
      </c>
      <c r="E5" s="22">
        <v>-1</v>
      </c>
      <c r="F5" s="22">
        <v>0</v>
      </c>
      <c r="G5" s="22">
        <v>0</v>
      </c>
      <c r="H5" s="22">
        <v>0</v>
      </c>
      <c r="I5" s="22" t="s">
        <v>47</v>
      </c>
      <c r="J5" s="22">
        <v>0</v>
      </c>
      <c r="K5" s="22">
        <v>0</v>
      </c>
      <c r="L5" s="25" t="str">
        <f>VLOOKUP(表1[[#This Row],[物品名称]],[1]!表1[#Data],2,FALSE)</f>
        <v>金币</v>
      </c>
      <c r="M5" s="25" t="str">
        <f>VLOOKUP(表1[[#This Row],[物品描述]],[1]!表1[#Data],2,FALSE)</f>
        <v>沉甸甸的金币</v>
      </c>
    </row>
    <row r="6" spans="1:13" ht="17.25" x14ac:dyDescent="0.35">
      <c r="A6" s="22" t="s">
        <v>49</v>
      </c>
      <c r="B6" s="23" t="str">
        <f>"item_name_"&amp;表1[[#This Row],[key值]]</f>
        <v>item_name_i002</v>
      </c>
      <c r="C6" s="23" t="str">
        <f>"item_desc_"&amp;表1[[#This Row],[key值]]</f>
        <v>item_desc_i002</v>
      </c>
      <c r="D6" s="22">
        <v>2</v>
      </c>
      <c r="E6" s="22">
        <v>-1</v>
      </c>
      <c r="F6" s="22">
        <v>0</v>
      </c>
      <c r="G6" s="22">
        <v>0</v>
      </c>
      <c r="H6" s="22">
        <v>0</v>
      </c>
      <c r="I6" s="22" t="s">
        <v>50</v>
      </c>
      <c r="J6" s="22">
        <v>0</v>
      </c>
      <c r="K6" s="22">
        <v>0</v>
      </c>
      <c r="L6" s="25" t="str">
        <f>VLOOKUP(表1[[#This Row],[物品名称]],[1]!表1[#Data],2,FALSE)</f>
        <v>钻石</v>
      </c>
      <c r="M6" s="25" t="str">
        <f>VLOOKUP(表1[[#This Row],[物品描述]],[1]!表1[#Data],2,FALSE)</f>
        <v>闪闪发光的钻石</v>
      </c>
    </row>
    <row r="7" spans="1:13" ht="17.25" x14ac:dyDescent="0.35">
      <c r="A7" s="22" t="s">
        <v>198</v>
      </c>
      <c r="B7" s="23" t="str">
        <f>"item_name_"&amp;表1[[#This Row],[key值]]</f>
        <v>item_name_i003</v>
      </c>
      <c r="C7" s="23" t="str">
        <f>"item_desc_"&amp;表1[[#This Row],[key值]]</f>
        <v>item_desc_i003</v>
      </c>
      <c r="D7" s="22">
        <v>9</v>
      </c>
      <c r="E7" s="22">
        <v>-1</v>
      </c>
      <c r="F7" s="22">
        <v>0</v>
      </c>
      <c r="G7" s="22">
        <v>0</v>
      </c>
      <c r="H7" s="22">
        <v>0</v>
      </c>
      <c r="I7" s="22" t="s">
        <v>205</v>
      </c>
      <c r="J7" s="22">
        <v>0</v>
      </c>
      <c r="K7" s="22">
        <v>0</v>
      </c>
      <c r="L7" s="25" t="str">
        <f>VLOOKUP(表1[[#This Row],[物品名称]],[1]!表1[#Data],2,FALSE)</f>
        <v>话费券</v>
      </c>
      <c r="M7" s="25" t="str">
        <f>VLOOKUP(表1[[#This Row],[物品描述]],[1]!表1[#Data],2,FALSE)</f>
        <v>可用来兑换话费卡、京东卡等实物奖励，主要通过保卫女神周奖励、排位赛每日奖励，以及捕获话费鱼掉落！</v>
      </c>
    </row>
    <row r="8" spans="1:13" ht="17.25" x14ac:dyDescent="0.35">
      <c r="A8" s="22" t="s">
        <v>327</v>
      </c>
      <c r="B8" s="23" t="str">
        <f>"item_name_"&amp;表1[[#This Row],[key值]]</f>
        <v>item_name_i004</v>
      </c>
      <c r="C8" s="23" t="str">
        <f>"item_desc_"&amp;表1[[#This Row],[key值]]</f>
        <v>item_desc_i004</v>
      </c>
      <c r="D8" s="22">
        <v>9</v>
      </c>
      <c r="E8" s="22">
        <v>-1</v>
      </c>
      <c r="F8" s="22">
        <v>0</v>
      </c>
      <c r="G8" s="22">
        <v>0</v>
      </c>
      <c r="H8" s="22">
        <v>0</v>
      </c>
      <c r="I8" s="22" t="s">
        <v>205</v>
      </c>
      <c r="J8" s="22">
        <v>0</v>
      </c>
      <c r="K8" s="22">
        <v>0</v>
      </c>
      <c r="L8" s="25" t="str">
        <f>VLOOKUP(表1[[#This Row],[物品名称]],[1]!表1[#Data],2,FALSE)</f>
        <v>抽奖卡</v>
      </c>
      <c r="M8" s="25" t="str">
        <f>VLOOKUP(表1[[#This Row],[物品描述]],[1]!表1[#Data],2,FALSE)</f>
        <v>在皮肤界面抽奖时使用，可抽取皮肤碎片</v>
      </c>
    </row>
    <row r="9" spans="1:13" ht="17.25" x14ac:dyDescent="0.35">
      <c r="A9" s="22" t="s">
        <v>229</v>
      </c>
      <c r="B9" s="23" t="str">
        <f>"item_name_"&amp;表1[[#This Row],[key值]]</f>
        <v>item_name_i005</v>
      </c>
      <c r="C9" s="23" t="str">
        <f>"item_desc_"&amp;表1[[#This Row],[key值]]</f>
        <v>item_desc_i005</v>
      </c>
      <c r="D9" s="22">
        <v>9</v>
      </c>
      <c r="E9" s="22">
        <v>-1</v>
      </c>
      <c r="F9" s="22">
        <v>0</v>
      </c>
      <c r="G9" s="22">
        <v>0</v>
      </c>
      <c r="H9" s="22">
        <v>0</v>
      </c>
      <c r="I9" s="22" t="s">
        <v>205</v>
      </c>
      <c r="J9" s="22">
        <v>0</v>
      </c>
      <c r="K9" s="22">
        <v>0</v>
      </c>
      <c r="L9" s="25" t="str">
        <f>VLOOKUP(表1[[#This Row],[物品名称]],[1]!表1[#Data],2,FALSE)</f>
        <v>VIP经验</v>
      </c>
      <c r="M9" s="25" t="str">
        <f>VLOOKUP(表1[[#This Row],[物品描述]],[1]!表1[#Data],2,FALSE)</f>
        <v>VIP经验</v>
      </c>
    </row>
    <row r="10" spans="1:13" ht="17.25" x14ac:dyDescent="0.35">
      <c r="A10" s="22" t="s">
        <v>230</v>
      </c>
      <c r="B10" s="23" t="str">
        <f>"item_name_"&amp;表1[[#This Row],[key值]]</f>
        <v>item_name_i006</v>
      </c>
      <c r="C10" s="23" t="str">
        <f>"item_desc_"&amp;表1[[#This Row],[key值]]</f>
        <v>item_desc_i006</v>
      </c>
      <c r="D10" s="22">
        <v>9</v>
      </c>
      <c r="E10" s="22">
        <v>-1</v>
      </c>
      <c r="F10" s="22">
        <v>0</v>
      </c>
      <c r="G10" s="22">
        <v>0</v>
      </c>
      <c r="H10" s="22">
        <v>0</v>
      </c>
      <c r="I10" s="22" t="s">
        <v>231</v>
      </c>
      <c r="J10" s="22">
        <v>0</v>
      </c>
      <c r="K10" s="22">
        <v>0</v>
      </c>
      <c r="L10" s="25" t="str">
        <f>VLOOKUP(表1[[#This Row],[物品名称]],[1]!表1[#Data],2,FALSE)</f>
        <v>小喇叭</v>
      </c>
      <c r="M10" s="25" t="str">
        <f>VLOOKUP(表1[[#This Row],[物品描述]],[1]!表1[#Data],2,FALSE)</f>
        <v>世界频道聊天专用。</v>
      </c>
    </row>
    <row r="11" spans="1:13" ht="17.25" x14ac:dyDescent="0.35">
      <c r="A11" s="22" t="s">
        <v>51</v>
      </c>
      <c r="B11" s="23" t="str">
        <f>"item_name_"&amp;表1[[#This Row],[key值]]</f>
        <v>item_name_i011</v>
      </c>
      <c r="C11" s="23" t="str">
        <f>"item_desc_"&amp;表1[[#This Row],[key值]]</f>
        <v>item_desc_i011</v>
      </c>
      <c r="D11" s="22">
        <v>3</v>
      </c>
      <c r="E11" s="22">
        <v>1</v>
      </c>
      <c r="F11" s="22">
        <v>1</v>
      </c>
      <c r="G11" s="22">
        <v>0</v>
      </c>
      <c r="H11" s="22">
        <v>0</v>
      </c>
      <c r="I11" s="22" t="s">
        <v>52</v>
      </c>
      <c r="J11" s="22">
        <v>0</v>
      </c>
      <c r="K11" s="22">
        <v>0</v>
      </c>
      <c r="L11" s="25" t="str">
        <f>VLOOKUP(表1[[#This Row],[物品名称]],[1]!表1[#Data],2,FALSE)</f>
        <v>冰冻</v>
      </c>
      <c r="M11" s="25" t="str">
        <f>VLOOKUP(表1[[#This Row],[物品描述]],[1]!表1[#Data],2,FALSE)</f>
        <v>冰冻全屏鱼类(宝箱鱼除外)，持续5秒</v>
      </c>
    </row>
    <row r="12" spans="1:13" ht="17.25" x14ac:dyDescent="0.35">
      <c r="A12" s="22" t="s">
        <v>53</v>
      </c>
      <c r="B12" s="23" t="str">
        <f>"item_name_"&amp;表1[[#This Row],[key值]]</f>
        <v>item_name_i012</v>
      </c>
      <c r="C12" s="23" t="str">
        <f>"item_desc_"&amp;表1[[#This Row],[key值]]</f>
        <v>item_desc_i012</v>
      </c>
      <c r="D12" s="22">
        <v>3</v>
      </c>
      <c r="E12" s="22">
        <v>2</v>
      </c>
      <c r="F12" s="22">
        <v>1</v>
      </c>
      <c r="G12" s="22">
        <v>0</v>
      </c>
      <c r="H12" s="22">
        <v>0</v>
      </c>
      <c r="I12" s="22" t="s">
        <v>54</v>
      </c>
      <c r="J12" s="22">
        <v>0</v>
      </c>
      <c r="K12" s="22">
        <v>0</v>
      </c>
      <c r="L12" s="25" t="str">
        <f>VLOOKUP(表1[[#This Row],[物品名称]],[1]!表1[#Data],2,FALSE)</f>
        <v>锁定</v>
      </c>
      <c r="M12" s="25" t="str">
        <f>VLOOKUP(表1[[#This Row],[物品描述]],[1]!表1[#Data],2,FALSE)</f>
        <v>远距离锁定目标，进行精准攻击，持续15秒</v>
      </c>
    </row>
    <row r="13" spans="1:13" ht="17.25" x14ac:dyDescent="0.35">
      <c r="A13" s="22" t="s">
        <v>55</v>
      </c>
      <c r="B13" s="23" t="str">
        <f>"item_name_"&amp;表1[[#This Row],[key值]]</f>
        <v>item_name_i013</v>
      </c>
      <c r="C13" s="23" t="str">
        <f>"item_desc_"&amp;表1[[#This Row],[key值]]</f>
        <v>item_desc_i013</v>
      </c>
      <c r="D13" s="22">
        <v>3</v>
      </c>
      <c r="E13" s="22">
        <v>3</v>
      </c>
      <c r="F13" s="22">
        <v>1</v>
      </c>
      <c r="G13" s="22">
        <v>0</v>
      </c>
      <c r="H13" s="22">
        <v>0</v>
      </c>
      <c r="I13" s="22" t="s">
        <v>56</v>
      </c>
      <c r="J13" s="22">
        <v>0</v>
      </c>
      <c r="K13" s="22">
        <v>0</v>
      </c>
      <c r="L13" s="25" t="str">
        <f>VLOOKUP(表1[[#This Row],[物品名称]],[1]!表1[#Data],2,FALSE)</f>
        <v>召唤</v>
      </c>
      <c r="M13" s="25" t="str">
        <f>VLOOKUP(表1[[#This Row],[物品描述]],[1]!表1[#Data],2,FALSE)</f>
        <v>随机召唤一只奖金鱼</v>
      </c>
    </row>
    <row r="14" spans="1:13" ht="17.25" x14ac:dyDescent="0.35">
      <c r="A14" s="22" t="s">
        <v>57</v>
      </c>
      <c r="B14" s="23" t="str">
        <f>"item_name_"&amp;表1[[#This Row],[key值]]</f>
        <v>item_name_i014</v>
      </c>
      <c r="C14" s="23" t="str">
        <f>"item_desc_"&amp;表1[[#This Row],[key值]]</f>
        <v>item_desc_i014</v>
      </c>
      <c r="D14" s="22">
        <v>3</v>
      </c>
      <c r="E14" s="22">
        <v>4</v>
      </c>
      <c r="F14" s="22">
        <v>1</v>
      </c>
      <c r="G14" s="22">
        <v>0</v>
      </c>
      <c r="H14" s="22">
        <v>0</v>
      </c>
      <c r="I14" s="22" t="s">
        <v>58</v>
      </c>
      <c r="J14" s="22">
        <v>0</v>
      </c>
      <c r="K14" s="22">
        <v>0</v>
      </c>
      <c r="L14" s="25" t="str">
        <f>VLOOKUP(表1[[#This Row],[物品名称]],[1]!表1[#Data],2,FALSE)</f>
        <v>备用技能</v>
      </c>
      <c r="M14" s="25" t="str">
        <f>VLOOKUP(表1[[#This Row],[物品描述]],[1]!表1[#Data],2,FALSE)</f>
        <v>随机召唤一只奖金鱼</v>
      </c>
    </row>
    <row r="15" spans="1:13" ht="17.25" x14ac:dyDescent="0.35">
      <c r="A15" s="22" t="s">
        <v>59</v>
      </c>
      <c r="B15" s="23" t="str">
        <f>"item_name_"&amp;表1[[#This Row],[key值]]</f>
        <v>item_name_i015</v>
      </c>
      <c r="C15" s="23" t="str">
        <f>"item_desc_"&amp;表1[[#This Row],[key值]]</f>
        <v>item_desc_i015</v>
      </c>
      <c r="D15" s="22">
        <v>3</v>
      </c>
      <c r="E15" s="22">
        <v>8</v>
      </c>
      <c r="F15" s="22">
        <v>50</v>
      </c>
      <c r="G15" s="22">
        <v>0</v>
      </c>
      <c r="H15" s="22">
        <v>0</v>
      </c>
      <c r="I15" s="26" t="s">
        <v>60</v>
      </c>
      <c r="J15" s="22">
        <v>0</v>
      </c>
      <c r="K15" s="22">
        <v>0</v>
      </c>
      <c r="L15" s="25" t="str">
        <f>VLOOKUP(表1[[#This Row],[物品名称]],[1]!表1[#Data],2,FALSE)</f>
        <v>青铜弹头</v>
      </c>
      <c r="M15" s="25" t="str">
        <f>VLOOKUP(表1[[#This Row],[物品描述]],[1]!表1[#Data],2,FALSE)</f>
        <v>青铜弹头，威力中，对集中的鱼群有奇效，理论可获得25000金币，在低倍场更好用！</v>
      </c>
    </row>
    <row r="16" spans="1:13" ht="17.25" x14ac:dyDescent="0.35">
      <c r="A16" s="22" t="s">
        <v>61</v>
      </c>
      <c r="B16" s="23" t="str">
        <f>"item_name_"&amp;表1[[#This Row],[key值]]</f>
        <v>item_name_i016</v>
      </c>
      <c r="C16" s="23" t="str">
        <f>"item_desc_"&amp;表1[[#This Row],[key值]]</f>
        <v>item_desc_i016</v>
      </c>
      <c r="D16" s="22">
        <v>3</v>
      </c>
      <c r="E16" s="22">
        <v>9</v>
      </c>
      <c r="F16" s="22">
        <v>150</v>
      </c>
      <c r="G16" s="22">
        <v>0</v>
      </c>
      <c r="H16" s="22">
        <v>0</v>
      </c>
      <c r="I16" s="26" t="s">
        <v>62</v>
      </c>
      <c r="J16" s="22">
        <v>0</v>
      </c>
      <c r="K16" s="22">
        <v>0</v>
      </c>
      <c r="L16" s="25" t="str">
        <f>VLOOKUP(表1[[#This Row],[物品名称]],[1]!表1[#Data],2,FALSE)</f>
        <v>白银弹头</v>
      </c>
      <c r="M16" s="25" t="str">
        <f>VLOOKUP(表1[[#This Row],[物品描述]],[1]!表1[#Data],2,FALSE)</f>
        <v>白银弹头，威力大，对集中的鱼群有奇效，理论可获得75000金币，在中倍场更好用！</v>
      </c>
    </row>
    <row r="17" spans="1:13" ht="17.25" x14ac:dyDescent="0.35">
      <c r="A17" s="22" t="s">
        <v>63</v>
      </c>
      <c r="B17" s="23" t="str">
        <f>"item_name_"&amp;表1[[#This Row],[key值]]</f>
        <v>item_name_i017</v>
      </c>
      <c r="C17" s="23" t="str">
        <f>"item_desc_"&amp;表1[[#This Row],[key值]]</f>
        <v>item_desc_i017</v>
      </c>
      <c r="D17" s="22">
        <v>3</v>
      </c>
      <c r="E17" s="22">
        <v>10</v>
      </c>
      <c r="F17" s="22">
        <v>500</v>
      </c>
      <c r="G17" s="22">
        <v>0</v>
      </c>
      <c r="H17" s="22">
        <v>0</v>
      </c>
      <c r="I17" s="26" t="s">
        <v>64</v>
      </c>
      <c r="J17" s="22">
        <v>0</v>
      </c>
      <c r="K17" s="22">
        <v>0</v>
      </c>
      <c r="L17" s="25" t="str">
        <f>VLOOKUP(表1[[#This Row],[物品名称]],[1]!表1[#Data],2,FALSE)</f>
        <v>黄金弹头</v>
      </c>
      <c r="M17" s="25" t="str">
        <f>VLOOKUP(表1[[#This Row],[物品描述]],[1]!表1[#Data],2,FALSE)</f>
        <v>黄金弹头，威力巨大，对集中的鱼群有奇效，理论可获得250000金币，在高倍场更好用！</v>
      </c>
    </row>
    <row r="18" spans="1:13" ht="17.25" x14ac:dyDescent="0.35">
      <c r="A18" s="22" t="s">
        <v>65</v>
      </c>
      <c r="B18" s="23" t="str">
        <f>"item_name_"&amp;表1[[#This Row],[key值]]</f>
        <v>item_name_i051</v>
      </c>
      <c r="C18" s="23" t="str">
        <f>"item_desc_"&amp;表1[[#This Row],[key值]]</f>
        <v>item_desc_i051</v>
      </c>
      <c r="D18" s="22">
        <v>4</v>
      </c>
      <c r="E18" s="22">
        <v>-1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5" t="str">
        <f>VLOOKUP(表1[[#This Row],[物品名称]],[1]!表1[#Data],2,FALSE)</f>
        <v>这是一个碎片</v>
      </c>
      <c r="M18" s="25" t="str">
        <f>VLOOKUP(表1[[#This Row],[物品描述]],[1]!表1[#Data],2,FALSE)</f>
        <v>这是一个碎片</v>
      </c>
    </row>
    <row r="19" spans="1:13" ht="17.25" x14ac:dyDescent="0.35">
      <c r="A19" s="22" t="s">
        <v>66</v>
      </c>
      <c r="B19" s="23" t="str">
        <f>"item_name_"&amp;表1[[#This Row],[key值]]</f>
        <v>item_name_i101</v>
      </c>
      <c r="C19" s="23" t="str">
        <f>"item_desc_"&amp;表1[[#This Row],[key值]]</f>
        <v>item_desc_i101</v>
      </c>
      <c r="D19" s="22">
        <v>5</v>
      </c>
      <c r="E19" s="22">
        <v>-1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5" t="str">
        <f>VLOOKUP(表1[[#This Row],[物品名称]],[1]!表1[#Data],2,FALSE)</f>
        <v>限时场景钥匙</v>
      </c>
      <c r="M19" s="25" t="str">
        <f>VLOOKUP(表1[[#This Row],[物品描述]],[1]!表1[#Data],2,FALSE)</f>
        <v>限时场景钥匙哦</v>
      </c>
    </row>
    <row r="20" spans="1:13" ht="17.25" x14ac:dyDescent="0.35">
      <c r="A20" s="22" t="s">
        <v>67</v>
      </c>
      <c r="B20" s="23" t="str">
        <f>"item_name_"&amp;表1[[#This Row],[key值]]</f>
        <v>item_name_i102</v>
      </c>
      <c r="C20" s="23" t="str">
        <f>"item_desc_"&amp;表1[[#This Row],[key值]]</f>
        <v>item_desc_i102</v>
      </c>
      <c r="D20" s="22">
        <v>5</v>
      </c>
      <c r="E20" s="22">
        <v>-1</v>
      </c>
      <c r="F20" s="22">
        <v>0</v>
      </c>
      <c r="G20" s="22">
        <v>0</v>
      </c>
      <c r="H20" s="22">
        <v>0</v>
      </c>
      <c r="I20" s="22" t="s">
        <v>68</v>
      </c>
      <c r="J20" s="22">
        <v>0</v>
      </c>
      <c r="K20" s="22">
        <v>0</v>
      </c>
      <c r="L20" s="25" t="str">
        <f>VLOOKUP(表1[[#This Row],[物品名称]],[1]!表1[#Data],2,FALSE)</f>
        <v>活跃值</v>
      </c>
      <c r="M20" s="25" t="str">
        <f>VLOOKUP(表1[[#This Row],[物品描述]],[1]!表1[#Data],2,FALSE)</f>
        <v>完成日常任务获得</v>
      </c>
    </row>
    <row r="21" spans="1:13" ht="17.25" x14ac:dyDescent="0.35">
      <c r="A21" s="22" t="s">
        <v>69</v>
      </c>
      <c r="B21" s="23" t="str">
        <f>"item_name_"&amp;表1[[#This Row],[key值]]</f>
        <v>item_name_i103</v>
      </c>
      <c r="C21" s="23" t="str">
        <f>"item_desc_"&amp;表1[[#This Row],[key值]]</f>
        <v>item_desc_i103</v>
      </c>
      <c r="D21" s="22">
        <v>5</v>
      </c>
      <c r="E21" s="22">
        <v>-1</v>
      </c>
      <c r="F21" s="22">
        <v>0</v>
      </c>
      <c r="G21" s="22">
        <v>0</v>
      </c>
      <c r="H21" s="22">
        <v>0</v>
      </c>
      <c r="I21" s="22" t="s">
        <v>70</v>
      </c>
      <c r="J21" s="22">
        <v>0</v>
      </c>
      <c r="K21" s="22">
        <v>0</v>
      </c>
      <c r="L21" s="25" t="str">
        <f>VLOOKUP(表1[[#This Row],[物品名称]],[1]!表1[#Data],2,FALSE)</f>
        <v>成就点</v>
      </c>
      <c r="M21" s="25" t="str">
        <f>VLOOKUP(表1[[#This Row],[物品描述]],[1]!表1[#Data],2,FALSE)</f>
        <v>完成成就任务获得</v>
      </c>
    </row>
    <row r="22" spans="1:13" ht="17.25" x14ac:dyDescent="0.35">
      <c r="A22" s="22" t="s">
        <v>71</v>
      </c>
      <c r="B22" s="23" t="str">
        <f>"item_name_"&amp;表1[[#This Row],[key值]]</f>
        <v>item_name_i110</v>
      </c>
      <c r="C22" s="23" t="str">
        <f>"item_desc_"&amp;表1[[#This Row],[key值]]</f>
        <v>item_desc_i110</v>
      </c>
      <c r="D22" s="22">
        <v>6</v>
      </c>
      <c r="E22" s="22">
        <v>-1</v>
      </c>
      <c r="F22" s="22">
        <v>0</v>
      </c>
      <c r="G22" s="22">
        <v>0</v>
      </c>
      <c r="H22" s="22">
        <v>0</v>
      </c>
      <c r="I22" s="22" t="s">
        <v>72</v>
      </c>
      <c r="J22" s="22">
        <v>0</v>
      </c>
      <c r="K22" s="22">
        <v>0</v>
      </c>
      <c r="L22" s="25" t="str">
        <f>VLOOKUP(表1[[#This Row],[物品名称]],[1]!表1[#Data],2,FALSE)</f>
        <v>疯狂接金币</v>
      </c>
      <c r="M22" s="25" t="str">
        <f>VLOOKUP(表1[[#This Row],[物品描述]],[1]!表1[#Data],2,FALSE)</f>
        <v>疯狂接金币</v>
      </c>
    </row>
    <row r="23" spans="1:13" ht="17.25" x14ac:dyDescent="0.35">
      <c r="A23" s="22" t="s">
        <v>73</v>
      </c>
      <c r="B23" s="23" t="str">
        <f>"item_name_"&amp;表1[[#This Row],[key值]]</f>
        <v>item_name_i111</v>
      </c>
      <c r="C23" s="23" t="str">
        <f>"item_desc_"&amp;表1[[#This Row],[key值]]</f>
        <v>item_desc_i111</v>
      </c>
      <c r="D23" s="22">
        <v>6</v>
      </c>
      <c r="E23" s="22">
        <v>-1</v>
      </c>
      <c r="F23" s="22">
        <v>0</v>
      </c>
      <c r="G23" s="22">
        <v>0</v>
      </c>
      <c r="H23" s="22">
        <v>0</v>
      </c>
      <c r="I23" s="22" t="s">
        <v>74</v>
      </c>
      <c r="J23" s="22">
        <v>0</v>
      </c>
      <c r="K23" s="22">
        <v>0</v>
      </c>
      <c r="L23" s="25" t="str">
        <f>VLOOKUP(表1[[#This Row],[物品名称]],[1]!表1[#Data],2,FALSE)</f>
        <v>疯狂的河豚</v>
      </c>
      <c r="M23" s="25" t="str">
        <f>VLOOKUP(表1[[#This Row],[物品描述]],[1]!表1[#Data],2,FALSE)</f>
        <v>疯狂的河豚</v>
      </c>
    </row>
    <row r="24" spans="1:13" ht="17.25" x14ac:dyDescent="0.35">
      <c r="A24" s="22" t="s">
        <v>75</v>
      </c>
      <c r="B24" s="23" t="str">
        <f>"item_name_"&amp;表1[[#This Row],[key值]]</f>
        <v>item_name_i200</v>
      </c>
      <c r="C24" s="23" t="str">
        <f>"item_desc_"&amp;表1[[#This Row],[key值]]</f>
        <v>item_desc_i200</v>
      </c>
      <c r="D24" s="22">
        <v>7</v>
      </c>
      <c r="E24" s="22">
        <v>-1</v>
      </c>
      <c r="F24" s="22">
        <v>0</v>
      </c>
      <c r="G24" s="22" t="s">
        <v>75</v>
      </c>
      <c r="H24" s="22">
        <v>30</v>
      </c>
      <c r="I24" s="22" t="s">
        <v>76</v>
      </c>
      <c r="J24" s="22">
        <v>0</v>
      </c>
      <c r="K24" s="22">
        <v>0</v>
      </c>
      <c r="L24" s="24" t="str">
        <f>VLOOKUP(表1[[#This Row],[物品名称]],[1]!表1[#Data],2,FALSE)</f>
        <v>1000兑换券</v>
      </c>
      <c r="M24" s="24" t="str">
        <f>VLOOKUP(表1[[#This Row],[物品描述]],[1]!表1[#Data],2,FALSE)</f>
        <v>使用后获得1000钻石，30级以上可以使用</v>
      </c>
    </row>
    <row r="25" spans="1:13" ht="17.25" x14ac:dyDescent="0.35">
      <c r="A25" s="22" t="s">
        <v>77</v>
      </c>
      <c r="B25" s="23" t="str">
        <f>"item_name_"&amp;表1[[#This Row],[key值]]</f>
        <v>item_name_i210</v>
      </c>
      <c r="C25" s="23" t="str">
        <f>"item_desc_"&amp;表1[[#This Row],[key值]]</f>
        <v>item_desc_i210</v>
      </c>
      <c r="D25" s="22">
        <v>7</v>
      </c>
      <c r="E25" s="22">
        <v>-1</v>
      </c>
      <c r="F25" s="22">
        <v>0</v>
      </c>
      <c r="G25" s="22" t="s">
        <v>77</v>
      </c>
      <c r="H25" s="22">
        <v>0</v>
      </c>
      <c r="I25" s="22" t="s">
        <v>78</v>
      </c>
      <c r="J25" s="22">
        <v>0</v>
      </c>
      <c r="K25" s="22">
        <v>0</v>
      </c>
      <c r="L25" s="24" t="str">
        <f>VLOOKUP(表1[[#This Row],[物品名称]],[1]!表1[#Data],2,FALSE)</f>
        <v>1万金币卡</v>
      </c>
      <c r="M25" s="24" t="str">
        <f>VLOOKUP(表1[[#This Row],[物品描述]],[1]!表1[#Data],2,FALSE)</f>
        <v>使用后获得【1万】金币</v>
      </c>
    </row>
    <row r="26" spans="1:13" ht="17.25" x14ac:dyDescent="0.35">
      <c r="A26" s="22" t="s">
        <v>79</v>
      </c>
      <c r="B26" s="23" t="str">
        <f>"item_name_"&amp;表1[[#This Row],[key值]]</f>
        <v>item_name_i211</v>
      </c>
      <c r="C26" s="23" t="str">
        <f>"item_desc_"&amp;表1[[#This Row],[key值]]</f>
        <v>item_desc_i211</v>
      </c>
      <c r="D26" s="22">
        <v>7</v>
      </c>
      <c r="E26" s="22">
        <v>-1</v>
      </c>
      <c r="F26" s="22">
        <v>0</v>
      </c>
      <c r="G26" s="22" t="s">
        <v>79</v>
      </c>
      <c r="H26" s="22">
        <v>0</v>
      </c>
      <c r="I26" s="22" t="s">
        <v>80</v>
      </c>
      <c r="J26" s="22">
        <v>0</v>
      </c>
      <c r="K26" s="22">
        <v>0</v>
      </c>
      <c r="L26" s="24" t="str">
        <f>VLOOKUP(表1[[#This Row],[物品名称]],[1]!表1[#Data],2,FALSE)</f>
        <v>10万金币卡</v>
      </c>
      <c r="M26" s="24" t="str">
        <f>VLOOKUP(表1[[#This Row],[物品描述]],[1]!表1[#Data],2,FALSE)</f>
        <v>使用后获得【10万】金币</v>
      </c>
    </row>
    <row r="27" spans="1:13" ht="17.25" x14ac:dyDescent="0.35">
      <c r="A27" s="22" t="s">
        <v>81</v>
      </c>
      <c r="B27" s="23" t="str">
        <f>"item_name_"&amp;表1[[#This Row],[key值]]</f>
        <v>item_name_i212</v>
      </c>
      <c r="C27" s="23" t="str">
        <f>"item_desc_"&amp;表1[[#This Row],[key值]]</f>
        <v>item_desc_i212</v>
      </c>
      <c r="D27" s="22">
        <v>7</v>
      </c>
      <c r="E27" s="22">
        <v>-1</v>
      </c>
      <c r="F27" s="22">
        <v>0</v>
      </c>
      <c r="G27" s="22" t="s">
        <v>81</v>
      </c>
      <c r="H27" s="22">
        <v>0</v>
      </c>
      <c r="I27" s="22" t="s">
        <v>82</v>
      </c>
      <c r="J27" s="22">
        <v>0</v>
      </c>
      <c r="K27" s="22">
        <v>0</v>
      </c>
      <c r="L27" s="24" t="str">
        <f>VLOOKUP(表1[[#This Row],[物品名称]],[1]!表1[#Data],2,FALSE)</f>
        <v>100万金币卡</v>
      </c>
      <c r="M27" s="24" t="str">
        <f>VLOOKUP(表1[[#This Row],[物品描述]],[1]!表1[#Data],2,FALSE)</f>
        <v>使用后获得【100万】金币</v>
      </c>
    </row>
    <row r="28" spans="1:13" ht="17.25" x14ac:dyDescent="0.35">
      <c r="A28" s="22" t="s">
        <v>83</v>
      </c>
      <c r="B28" s="23" t="str">
        <f>"item_name_"&amp;表1[[#This Row],[key值]]</f>
        <v>item_name_i213</v>
      </c>
      <c r="C28" s="23" t="str">
        <f>"item_desc_"&amp;表1[[#This Row],[key值]]</f>
        <v>item_desc_i213</v>
      </c>
      <c r="D28" s="22">
        <v>7</v>
      </c>
      <c r="E28" s="22">
        <v>-1</v>
      </c>
      <c r="F28" s="22">
        <v>0</v>
      </c>
      <c r="G28" s="22" t="s">
        <v>83</v>
      </c>
      <c r="H28" s="22">
        <v>0</v>
      </c>
      <c r="I28" s="22" t="s">
        <v>84</v>
      </c>
      <c r="J28" s="22">
        <v>0</v>
      </c>
      <c r="K28" s="22">
        <v>0</v>
      </c>
      <c r="L28" s="24" t="str">
        <f>VLOOKUP(表1[[#This Row],[物品名称]],[1]!表1[#Data],2,FALSE)</f>
        <v>1000万金币卡</v>
      </c>
      <c r="M28" s="24" t="str">
        <f>VLOOKUP(表1[[#This Row],[物品描述]],[1]!表1[#Data],2,FALSE)</f>
        <v>使用后获得【1000万】金币</v>
      </c>
    </row>
    <row r="29" spans="1:13" ht="17.25" x14ac:dyDescent="0.35">
      <c r="A29" s="22" t="s">
        <v>85</v>
      </c>
      <c r="B29" s="23" t="str">
        <f>"item_name_"&amp;表1[[#This Row],[key值]]</f>
        <v>item_name_i214</v>
      </c>
      <c r="C29" s="23" t="str">
        <f>"item_desc_"&amp;表1[[#This Row],[key值]]</f>
        <v>item_desc_i214</v>
      </c>
      <c r="D29" s="22">
        <v>7</v>
      </c>
      <c r="E29" s="22">
        <v>-1</v>
      </c>
      <c r="F29" s="22">
        <v>0</v>
      </c>
      <c r="G29" s="22" t="s">
        <v>85</v>
      </c>
      <c r="H29" s="22">
        <v>0</v>
      </c>
      <c r="I29" s="22" t="s">
        <v>86</v>
      </c>
      <c r="J29" s="22">
        <v>0</v>
      </c>
      <c r="K29" s="22">
        <v>0</v>
      </c>
      <c r="L29" s="24" t="str">
        <f>VLOOKUP(表1[[#This Row],[物品名称]],[1]!表1[#Data],2,FALSE)</f>
        <v>1亿金币卡</v>
      </c>
      <c r="M29" s="24" t="str">
        <f>VLOOKUP(表1[[#This Row],[物品描述]],[1]!表1[#Data],2,FALSE)</f>
        <v>使用后获得【1亿】金币</v>
      </c>
    </row>
    <row r="30" spans="1:13" ht="17.25" x14ac:dyDescent="0.35">
      <c r="A30" s="22" t="s">
        <v>267</v>
      </c>
      <c r="B30" s="23" t="str">
        <f>"item_name_"&amp;表1[[#This Row],[key值]]</f>
        <v>item_name_i215</v>
      </c>
      <c r="C30" s="23" t="str">
        <f>"item_desc_"&amp;表1[[#This Row],[key值]]</f>
        <v>item_desc_i215</v>
      </c>
      <c r="D30" s="22">
        <v>7</v>
      </c>
      <c r="E30" s="22">
        <v>-1</v>
      </c>
      <c r="F30" s="22">
        <v>0</v>
      </c>
      <c r="G30" s="22" t="s">
        <v>267</v>
      </c>
      <c r="H30" s="22">
        <v>0</v>
      </c>
      <c r="I30" s="22" t="s">
        <v>268</v>
      </c>
      <c r="J30" s="22">
        <v>0</v>
      </c>
      <c r="K30" s="22">
        <v>0</v>
      </c>
      <c r="L30" s="24" t="str">
        <f>VLOOKUP(表1[[#This Row],[物品名称]],[1]!表1[#Data],2,FALSE)</f>
        <v>随机金币卡</v>
      </c>
      <c r="M30" s="24" t="str">
        <f>VLOOKUP(表1[[#This Row],[物品描述]],[1]!表1[#Data],2,FALSE)</f>
        <v>使用后随机获得：【1亿】、【1000万】、【100万】、【10万】、【1万】、【1000】金币</v>
      </c>
    </row>
    <row r="31" spans="1:13" ht="17.25" x14ac:dyDescent="0.35">
      <c r="A31" s="22" t="s">
        <v>87</v>
      </c>
      <c r="B31" s="23" t="str">
        <f>"item_name_"&amp;表1[[#This Row],[key值]]</f>
        <v>item_name_i220</v>
      </c>
      <c r="C31" s="23" t="str">
        <f>"item_desc_"&amp;表1[[#This Row],[key值]]</f>
        <v>item_desc_i220</v>
      </c>
      <c r="D31" s="22">
        <v>7</v>
      </c>
      <c r="E31" s="22">
        <v>-1</v>
      </c>
      <c r="F31" s="22">
        <v>0</v>
      </c>
      <c r="G31" s="22" t="s">
        <v>87</v>
      </c>
      <c r="H31" s="22">
        <v>0</v>
      </c>
      <c r="I31" s="22" t="s">
        <v>226</v>
      </c>
      <c r="J31" s="22">
        <v>0</v>
      </c>
      <c r="K31" s="22">
        <v>0</v>
      </c>
      <c r="L31" s="24" t="str">
        <f>VLOOKUP(表1[[#This Row],[物品名称]],[1]!表1[#Data],2,FALSE)</f>
        <v>随机技能包</v>
      </c>
      <c r="M31" s="24" t="str">
        <f>VLOOKUP(表1[[#This Row],[物品描述]],[1]!表1[#Data],2,FALSE)</f>
        <v>使用后随机获得锁定*1、冰冻*1、召唤*1</v>
      </c>
    </row>
    <row r="32" spans="1:13" ht="17.25" x14ac:dyDescent="0.35">
      <c r="A32" s="22" t="s">
        <v>89</v>
      </c>
      <c r="B32" s="23" t="str">
        <f>"item_name_"&amp;表1[[#This Row],[key值]]</f>
        <v>item_name_i230</v>
      </c>
      <c r="C32" s="23" t="str">
        <f>"item_desc_"&amp;表1[[#This Row],[key值]]</f>
        <v>item_desc_i230</v>
      </c>
      <c r="D32" s="22">
        <v>7</v>
      </c>
      <c r="E32" s="22">
        <v>-1</v>
      </c>
      <c r="F32" s="22">
        <v>0</v>
      </c>
      <c r="G32" s="22" t="s">
        <v>89</v>
      </c>
      <c r="H32" s="22">
        <v>0</v>
      </c>
      <c r="I32" s="22" t="s">
        <v>227</v>
      </c>
      <c r="J32" s="22">
        <v>0</v>
      </c>
      <c r="K32" s="22">
        <v>0</v>
      </c>
      <c r="L32" s="24" t="str">
        <f>VLOOKUP(表1[[#This Row],[物品名称]],[1]!表1[#Data],2,FALSE)</f>
        <v>随机碎片包</v>
      </c>
      <c r="M32" s="24" t="str">
        <f>VLOOKUP(表1[[#This Row],[物品描述]],[1]!表1[#Data],2,FALSE)</f>
        <v>使用后随机获得宠物鱼碎片*1</v>
      </c>
    </row>
    <row r="33" spans="1:15" ht="17.25" x14ac:dyDescent="0.35">
      <c r="A33" s="22" t="s">
        <v>188</v>
      </c>
      <c r="B33" s="23" t="str">
        <f>"item_name_"&amp;表1[[#This Row],[key值]]</f>
        <v>item_name_i240</v>
      </c>
      <c r="C33" s="23" t="str">
        <f>"item_desc_"&amp;表1[[#This Row],[key值]]</f>
        <v>item_desc_i240</v>
      </c>
      <c r="D33" s="22">
        <v>7</v>
      </c>
      <c r="E33" s="22">
        <v>-1</v>
      </c>
      <c r="F33" s="22">
        <v>0</v>
      </c>
      <c r="G33" s="22" t="s">
        <v>188</v>
      </c>
      <c r="H33" s="22">
        <v>0</v>
      </c>
      <c r="I33" s="22" t="s">
        <v>228</v>
      </c>
      <c r="J33" s="22">
        <v>0</v>
      </c>
      <c r="K33" s="22">
        <v>0</v>
      </c>
      <c r="L33" s="24" t="str">
        <f>VLOOKUP(表1[[#This Row],[物品名称]],[1]!表1[#Data],2,FALSE)</f>
        <v>锻造材料包</v>
      </c>
      <c r="M33" s="24" t="str">
        <f>VLOOKUP(表1[[#This Row],[物品描述]],[1]!表1[#Data],2,FALSE)</f>
        <v>使用后随机获得武器锻造碎片*1</v>
      </c>
    </row>
    <row r="34" spans="1:15" ht="17.25" x14ac:dyDescent="0.35">
      <c r="A34" s="22" t="s">
        <v>189</v>
      </c>
      <c r="B34" s="23" t="str">
        <f>"item_name_"&amp;表1[[#This Row],[key值]]</f>
        <v>item_name_i251</v>
      </c>
      <c r="C34" s="23" t="str">
        <f>"item_desc_"&amp;表1[[#This Row],[key值]]</f>
        <v>item_desc_i251</v>
      </c>
      <c r="D34" s="22">
        <v>7</v>
      </c>
      <c r="E34" s="22">
        <v>-1</v>
      </c>
      <c r="F34" s="22">
        <v>0</v>
      </c>
      <c r="G34" s="22" t="s">
        <v>189</v>
      </c>
      <c r="H34" s="22">
        <v>0</v>
      </c>
      <c r="I34" s="22" t="s">
        <v>88</v>
      </c>
      <c r="J34" s="22">
        <v>0</v>
      </c>
      <c r="K34" s="22">
        <v>0</v>
      </c>
      <c r="L34" s="24" t="str">
        <f>VLOOKUP(表1[[#This Row],[物品名称]],[1]!表1[#Data],2,FALSE)</f>
        <v>青铜赛季礼盒</v>
      </c>
      <c r="M34" s="24" t="str">
        <f>VLOOKUP(表1[[#This Row],[物品描述]],[1]!表1[#Data],2,FALSE)</f>
        <v>排位赛中获得的青铜段位赛季礼包，暂时无法使用，敬请期待！</v>
      </c>
    </row>
    <row r="35" spans="1:15" ht="17.25" x14ac:dyDescent="0.35">
      <c r="A35" s="22" t="s">
        <v>190</v>
      </c>
      <c r="B35" s="23" t="str">
        <f>"item_name_"&amp;表1[[#This Row],[key值]]</f>
        <v>item_name_i252</v>
      </c>
      <c r="C35" s="23" t="str">
        <f>"item_desc_"&amp;表1[[#This Row],[key值]]</f>
        <v>item_desc_i252</v>
      </c>
      <c r="D35" s="22">
        <v>7</v>
      </c>
      <c r="E35" s="22">
        <v>-1</v>
      </c>
      <c r="F35" s="22">
        <v>0</v>
      </c>
      <c r="G35" s="22" t="s">
        <v>190</v>
      </c>
      <c r="H35" s="22">
        <v>0</v>
      </c>
      <c r="I35" s="22" t="s">
        <v>88</v>
      </c>
      <c r="J35" s="22">
        <v>0</v>
      </c>
      <c r="K35" s="22">
        <v>0</v>
      </c>
      <c r="L35" s="24" t="str">
        <f>VLOOKUP(表1[[#This Row],[物品名称]],[1]!表1[#Data],2,FALSE)</f>
        <v>白银赛季礼盒</v>
      </c>
      <c r="M35" s="24" t="str">
        <f>VLOOKUP(表1[[#This Row],[物品描述]],[1]!表1[#Data],2,FALSE)</f>
        <v>排位赛中获得的白银段位赛季礼包，暂时无法使用，敬请期待！</v>
      </c>
    </row>
    <row r="36" spans="1:15" ht="17.25" x14ac:dyDescent="0.35">
      <c r="A36" s="22" t="s">
        <v>191</v>
      </c>
      <c r="B36" s="23" t="str">
        <f>"item_name_"&amp;表1[[#This Row],[key值]]</f>
        <v>item_name_i253</v>
      </c>
      <c r="C36" s="23" t="str">
        <f>"item_desc_"&amp;表1[[#This Row],[key值]]</f>
        <v>item_desc_i253</v>
      </c>
      <c r="D36" s="22">
        <v>7</v>
      </c>
      <c r="E36" s="22">
        <v>-1</v>
      </c>
      <c r="F36" s="22">
        <v>0</v>
      </c>
      <c r="G36" s="22" t="s">
        <v>191</v>
      </c>
      <c r="H36" s="22">
        <v>0</v>
      </c>
      <c r="I36" s="22" t="s">
        <v>88</v>
      </c>
      <c r="J36" s="22">
        <v>0</v>
      </c>
      <c r="K36" s="22">
        <v>0</v>
      </c>
      <c r="L36" s="24" t="str">
        <f>VLOOKUP(表1[[#This Row],[物品名称]],[1]!表1[#Data],2,FALSE)</f>
        <v>黄金赛季礼盒</v>
      </c>
      <c r="M36" s="24" t="str">
        <f>VLOOKUP(表1[[#This Row],[物品描述]],[1]!表1[#Data],2,FALSE)</f>
        <v>排位赛中获得的黄金段位赛季礼包，暂时无法使用，敬请期待！</v>
      </c>
    </row>
    <row r="37" spans="1:15" ht="17.25" x14ac:dyDescent="0.35">
      <c r="A37" s="22" t="s">
        <v>192</v>
      </c>
      <c r="B37" s="23" t="str">
        <f>"item_name_"&amp;表1[[#This Row],[key值]]</f>
        <v>item_name_i254</v>
      </c>
      <c r="C37" s="23" t="str">
        <f>"item_desc_"&amp;表1[[#This Row],[key值]]</f>
        <v>item_desc_i254</v>
      </c>
      <c r="D37" s="22">
        <v>7</v>
      </c>
      <c r="E37" s="22">
        <v>-1</v>
      </c>
      <c r="F37" s="22">
        <v>0</v>
      </c>
      <c r="G37" s="22" t="s">
        <v>192</v>
      </c>
      <c r="H37" s="22">
        <v>0</v>
      </c>
      <c r="I37" s="22" t="s">
        <v>88</v>
      </c>
      <c r="J37" s="22">
        <v>0</v>
      </c>
      <c r="K37" s="22">
        <v>0</v>
      </c>
      <c r="L37" s="24" t="str">
        <f>VLOOKUP(表1[[#This Row],[物品名称]],[1]!表1[#Data],2,FALSE)</f>
        <v>白金赛季礼盒</v>
      </c>
      <c r="M37" s="24" t="str">
        <f>VLOOKUP(表1[[#This Row],[物品描述]],[1]!表1[#Data],2,FALSE)</f>
        <v>排位赛中获得的白金段位赛季礼包，暂时无法使用，敬请期待！</v>
      </c>
    </row>
    <row r="38" spans="1:15" ht="17.25" x14ac:dyDescent="0.35">
      <c r="A38" s="22" t="s">
        <v>193</v>
      </c>
      <c r="B38" s="23" t="str">
        <f>"item_name_"&amp;表1[[#This Row],[key值]]</f>
        <v>item_name_i255</v>
      </c>
      <c r="C38" s="23" t="str">
        <f>"item_desc_"&amp;表1[[#This Row],[key值]]</f>
        <v>item_desc_i255</v>
      </c>
      <c r="D38" s="22">
        <v>7</v>
      </c>
      <c r="E38" s="22">
        <v>-1</v>
      </c>
      <c r="F38" s="22">
        <v>0</v>
      </c>
      <c r="G38" s="22" t="s">
        <v>193</v>
      </c>
      <c r="H38" s="22">
        <v>0</v>
      </c>
      <c r="I38" s="22" t="s">
        <v>88</v>
      </c>
      <c r="J38" s="22">
        <v>0</v>
      </c>
      <c r="K38" s="22">
        <v>0</v>
      </c>
      <c r="L38" s="24" t="str">
        <f>VLOOKUP(表1[[#This Row],[物品名称]],[1]!表1[#Data],2,FALSE)</f>
        <v>钻石赛季礼盒</v>
      </c>
      <c r="M38" s="24" t="str">
        <f>VLOOKUP(表1[[#This Row],[物品描述]],[1]!表1[#Data],2,FALSE)</f>
        <v>排位赛中获得的钻石段位赛季礼包，暂时无法使用，敬请期待！</v>
      </c>
      <c r="O38" s="15" t="s">
        <v>225</v>
      </c>
    </row>
    <row r="39" spans="1:15" ht="17.25" x14ac:dyDescent="0.35">
      <c r="A39" s="22" t="s">
        <v>194</v>
      </c>
      <c r="B39" s="23" t="str">
        <f>"item_name_"&amp;表1[[#This Row],[key值]]</f>
        <v>item_name_i256</v>
      </c>
      <c r="C39" s="23" t="str">
        <f>"item_desc_"&amp;表1[[#This Row],[key值]]</f>
        <v>item_desc_i256</v>
      </c>
      <c r="D39" s="22">
        <v>7</v>
      </c>
      <c r="E39" s="22">
        <v>-1</v>
      </c>
      <c r="F39" s="22">
        <v>0</v>
      </c>
      <c r="G39" s="22" t="s">
        <v>194</v>
      </c>
      <c r="H39" s="22">
        <v>0</v>
      </c>
      <c r="I39" s="22" t="s">
        <v>88</v>
      </c>
      <c r="J39" s="22">
        <v>0</v>
      </c>
      <c r="K39" s="22">
        <v>0</v>
      </c>
      <c r="L39" s="24" t="str">
        <f>VLOOKUP(表1[[#This Row],[物品名称]],[1]!表1[#Data],2,FALSE)</f>
        <v>十大高手赛季礼盒</v>
      </c>
      <c r="M39" s="24" t="str">
        <f>VLOOKUP(表1[[#This Row],[物品描述]],[1]!表1[#Data],2,FALSE)</f>
        <v>排位赛中获得的十大高手赛季礼包，暂时无法使用，敬请期待！</v>
      </c>
      <c r="O39" s="15" t="s">
        <v>218</v>
      </c>
    </row>
    <row r="40" spans="1:15" ht="17.25" x14ac:dyDescent="0.35">
      <c r="A40" s="22" t="s">
        <v>195</v>
      </c>
      <c r="B40" s="23" t="str">
        <f>"item_name_"&amp;表1[[#This Row],[key值]]</f>
        <v>item_name_i257</v>
      </c>
      <c r="C40" s="23" t="str">
        <f>"item_desc_"&amp;表1[[#This Row],[key值]]</f>
        <v>item_desc_i257</v>
      </c>
      <c r="D40" s="22">
        <v>7</v>
      </c>
      <c r="E40" s="22">
        <v>-1</v>
      </c>
      <c r="F40" s="22">
        <v>0</v>
      </c>
      <c r="G40" s="22" t="s">
        <v>195</v>
      </c>
      <c r="H40" s="22">
        <v>0</v>
      </c>
      <c r="I40" s="22" t="s">
        <v>88</v>
      </c>
      <c r="J40" s="22">
        <v>0</v>
      </c>
      <c r="K40" s="22">
        <v>0</v>
      </c>
      <c r="L40" s="24" t="str">
        <f>VLOOKUP(表1[[#This Row],[物品名称]],[1]!表1[#Data],2,FALSE)</f>
        <v>最强王者赛季礼盒</v>
      </c>
      <c r="M40" s="24" t="str">
        <f>VLOOKUP(表1[[#This Row],[物品描述]],[1]!表1[#Data],2,FALSE)</f>
        <v>排位赛中获得的最强王者赛季礼包，暂时无法使用，敬请期待！</v>
      </c>
      <c r="O40" s="15" t="s">
        <v>219</v>
      </c>
    </row>
    <row r="41" spans="1:15" ht="17.25" x14ac:dyDescent="0.35">
      <c r="A41" s="22" t="s">
        <v>212</v>
      </c>
      <c r="B41" s="23" t="str">
        <f>"item_name_"&amp;表1[[#This Row],[key值]]</f>
        <v>item_name_i300</v>
      </c>
      <c r="C41" s="23" t="str">
        <f>"item_desc_"&amp;表1[[#This Row],[key值]]</f>
        <v>item_desc_i300</v>
      </c>
      <c r="D41" s="22">
        <v>7</v>
      </c>
      <c r="E41" s="22">
        <v>-1</v>
      </c>
      <c r="F41" s="22">
        <v>0</v>
      </c>
      <c r="G41" s="22" t="s">
        <v>223</v>
      </c>
      <c r="H41" s="22">
        <v>0</v>
      </c>
      <c r="I41" s="22" t="s">
        <v>225</v>
      </c>
      <c r="J41" s="22">
        <v>0</v>
      </c>
      <c r="K41" s="22">
        <v>0</v>
      </c>
      <c r="L41" s="25" t="str">
        <f>VLOOKUP(表1[[#This Row],[物品名称]],[1]!表1[#Data],2,FALSE)</f>
        <v>织女宝盒</v>
      </c>
      <c r="M41" s="25" t="str">
        <f>VLOOKUP(表1[[#This Row],[物品描述]],[1]!表1[#Data],2,FALSE)</f>
        <v>谣传织女遗落的礼盒，内有钻石、核弹、话费等珍宝，每天第100次开启必然获得10000话费券！</v>
      </c>
      <c r="O41" s="15" t="s">
        <v>220</v>
      </c>
    </row>
    <row r="42" spans="1:15" ht="17.25" x14ac:dyDescent="0.35">
      <c r="A42" s="22" t="s">
        <v>213</v>
      </c>
      <c r="B42" s="23" t="str">
        <f>"item_name_"&amp;表1[[#This Row],[key值]]</f>
        <v>item_name_i301</v>
      </c>
      <c r="C42" s="23" t="str">
        <f>"item_desc_"&amp;表1[[#This Row],[key值]]</f>
        <v>item_desc_i301</v>
      </c>
      <c r="D42" s="22">
        <v>9</v>
      </c>
      <c r="E42" s="22">
        <v>-1</v>
      </c>
      <c r="F42" s="22">
        <v>1</v>
      </c>
      <c r="G42" s="22">
        <v>0</v>
      </c>
      <c r="H42" s="22">
        <v>0</v>
      </c>
      <c r="I42" s="22" t="s">
        <v>218</v>
      </c>
      <c r="J42" s="22">
        <v>0</v>
      </c>
      <c r="K42" s="22">
        <v>0</v>
      </c>
      <c r="L42" s="25" t="str">
        <f>VLOOKUP(表1[[#This Row],[物品名称]],[1]!表1[#Data],2,FALSE)</f>
        <v>同心结【永】</v>
      </c>
      <c r="M42" s="25" t="str">
        <f>VLOOKUP(表1[[#This Row],[物品描述]],[1]!表1[#Data],2,FALSE)</f>
        <v>同心结，上面绣着一个字——永</v>
      </c>
      <c r="O42" s="15" t="s">
        <v>221</v>
      </c>
    </row>
    <row r="43" spans="1:15" ht="17.25" x14ac:dyDescent="0.35">
      <c r="A43" s="22" t="s">
        <v>214</v>
      </c>
      <c r="B43" s="23" t="str">
        <f>"item_name_"&amp;表1[[#This Row],[key值]]</f>
        <v>item_name_i302</v>
      </c>
      <c r="C43" s="23" t="str">
        <f>"item_desc_"&amp;表1[[#This Row],[key值]]</f>
        <v>item_desc_i302</v>
      </c>
      <c r="D43" s="22">
        <v>9</v>
      </c>
      <c r="E43" s="22">
        <v>-1</v>
      </c>
      <c r="F43" s="22">
        <v>1</v>
      </c>
      <c r="G43" s="22">
        <v>0</v>
      </c>
      <c r="H43" s="22">
        <v>0</v>
      </c>
      <c r="I43" s="22" t="s">
        <v>219</v>
      </c>
      <c r="J43" s="22">
        <v>0</v>
      </c>
      <c r="K43" s="22">
        <v>0</v>
      </c>
      <c r="L43" s="25" t="str">
        <f>VLOOKUP(表1[[#This Row],[物品名称]],[1]!表1[#Data],2,FALSE)</f>
        <v>同心结【结】</v>
      </c>
      <c r="M43" s="25" t="str">
        <f>VLOOKUP(表1[[#This Row],[物品描述]],[1]!表1[#Data],2,FALSE)</f>
        <v>同心结，上面绣着一个字——结</v>
      </c>
      <c r="O43" s="15" t="s">
        <v>222</v>
      </c>
    </row>
    <row r="44" spans="1:15" ht="17.25" x14ac:dyDescent="0.35">
      <c r="A44" s="22" t="s">
        <v>215</v>
      </c>
      <c r="B44" s="23" t="str">
        <f>"item_name_"&amp;表1[[#This Row],[key值]]</f>
        <v>item_name_i303</v>
      </c>
      <c r="C44" s="23" t="str">
        <f>"item_desc_"&amp;表1[[#This Row],[key值]]</f>
        <v>item_desc_i303</v>
      </c>
      <c r="D44" s="22">
        <v>9</v>
      </c>
      <c r="E44" s="22">
        <v>-1</v>
      </c>
      <c r="F44" s="22">
        <v>1</v>
      </c>
      <c r="G44" s="22">
        <v>0</v>
      </c>
      <c r="H44" s="22">
        <v>0</v>
      </c>
      <c r="I44" s="22" t="s">
        <v>220</v>
      </c>
      <c r="J44" s="22">
        <v>0</v>
      </c>
      <c r="K44" s="22">
        <v>0</v>
      </c>
      <c r="L44" s="25" t="str">
        <f>VLOOKUP(表1[[#This Row],[物品名称]],[1]!表1[#Data],2,FALSE)</f>
        <v>同心结【同】</v>
      </c>
      <c r="M44" s="25" t="str">
        <f>VLOOKUP(表1[[#This Row],[物品描述]],[1]!表1[#Data],2,FALSE)</f>
        <v>同心结，上面绣着一个字——同</v>
      </c>
    </row>
    <row r="45" spans="1:15" ht="17.25" x14ac:dyDescent="0.35">
      <c r="A45" s="22" t="s">
        <v>216</v>
      </c>
      <c r="B45" s="23" t="str">
        <f>"item_name_"&amp;表1[[#This Row],[key值]]</f>
        <v>item_name_i304</v>
      </c>
      <c r="C45" s="23" t="str">
        <f>"item_desc_"&amp;表1[[#This Row],[key值]]</f>
        <v>item_desc_i304</v>
      </c>
      <c r="D45" s="22">
        <v>9</v>
      </c>
      <c r="E45" s="22">
        <v>-1</v>
      </c>
      <c r="F45" s="22">
        <v>1</v>
      </c>
      <c r="G45" s="22">
        <v>0</v>
      </c>
      <c r="H45" s="22">
        <v>0</v>
      </c>
      <c r="I45" s="22" t="s">
        <v>221</v>
      </c>
      <c r="J45" s="22">
        <v>0</v>
      </c>
      <c r="K45" s="22">
        <v>0</v>
      </c>
      <c r="L45" s="25" t="str">
        <f>VLOOKUP(表1[[#This Row],[物品名称]],[1]!表1[#Data],2,FALSE)</f>
        <v>同心结【心】</v>
      </c>
      <c r="M45" s="25" t="str">
        <f>VLOOKUP(表1[[#This Row],[物品描述]],[1]!表1[#Data],2,FALSE)</f>
        <v>同心结，上面绣着一个字——心</v>
      </c>
    </row>
    <row r="46" spans="1:15" ht="17.25" x14ac:dyDescent="0.35">
      <c r="A46" s="22" t="s">
        <v>217</v>
      </c>
      <c r="B46" s="23" t="str">
        <f>"item_name_"&amp;表1[[#This Row],[key值]]</f>
        <v>item_name_i305</v>
      </c>
      <c r="C46" s="23" t="str">
        <f>"item_desc_"&amp;表1[[#This Row],[key值]]</f>
        <v>item_desc_i305</v>
      </c>
      <c r="D46" s="22">
        <v>7</v>
      </c>
      <c r="E46" s="22">
        <v>-1</v>
      </c>
      <c r="F46" s="22">
        <v>0</v>
      </c>
      <c r="G46" s="22" t="s">
        <v>224</v>
      </c>
      <c r="H46" s="22">
        <v>0</v>
      </c>
      <c r="I46" s="22" t="s">
        <v>222</v>
      </c>
      <c r="J46" s="22">
        <v>0</v>
      </c>
      <c r="K46" s="22">
        <v>0</v>
      </c>
      <c r="L46" s="25" t="str">
        <f>VLOOKUP(表1[[#This Row],[物品名称]],[1]!表1[#Data],2,FALSE)</f>
        <v>随机同心结</v>
      </c>
      <c r="M46" s="25" t="str">
        <f>VLOOKUP(表1[[#This Row],[物品描述]],[1]!表1[#Data],2,FALSE)</f>
        <v>打开后随机获得一个同心结</v>
      </c>
    </row>
    <row r="47" spans="1:15" ht="17.25" x14ac:dyDescent="0.35">
      <c r="A47" s="22" t="s">
        <v>271</v>
      </c>
      <c r="B47" s="23" t="str">
        <f>"item_name_"&amp;表1[[#This Row],[key值]]</f>
        <v>item_name_i310</v>
      </c>
      <c r="C47" s="23" t="str">
        <f>"item_desc_"&amp;表1[[#This Row],[key值]]</f>
        <v>item_desc_i310</v>
      </c>
      <c r="D47" s="22">
        <v>9</v>
      </c>
      <c r="E47" s="22">
        <v>-1</v>
      </c>
      <c r="F47" s="22">
        <v>1</v>
      </c>
      <c r="G47" s="22">
        <v>0</v>
      </c>
      <c r="H47" s="22">
        <v>0</v>
      </c>
      <c r="I47" s="22" t="s">
        <v>281</v>
      </c>
      <c r="J47" s="22">
        <v>0</v>
      </c>
      <c r="K47" s="22">
        <v>0</v>
      </c>
      <c r="L47" s="25" t="str">
        <f>VLOOKUP(表1[[#This Row],[物品名称]],[1]!表1[#Data],2,FALSE)</f>
        <v>面粉</v>
      </c>
      <c r="M47" s="25" t="str">
        <f>VLOOKUP(表1[[#This Row],[物品描述]],[1]!表1[#Data],2,FALSE)</f>
        <v>上等的面粉，制作月饼的必须材料</v>
      </c>
    </row>
    <row r="48" spans="1:15" ht="17.25" x14ac:dyDescent="0.35">
      <c r="A48" s="22" t="s">
        <v>272</v>
      </c>
      <c r="B48" s="23" t="str">
        <f>"item_name_"&amp;表1[[#This Row],[key值]]</f>
        <v>item_name_i311</v>
      </c>
      <c r="C48" s="23" t="str">
        <f>"item_desc_"&amp;表1[[#This Row],[key值]]</f>
        <v>item_desc_i311</v>
      </c>
      <c r="D48" s="22">
        <v>9</v>
      </c>
      <c r="E48" s="22">
        <v>-1</v>
      </c>
      <c r="F48" s="22">
        <v>1</v>
      </c>
      <c r="G48" s="22">
        <v>0</v>
      </c>
      <c r="H48" s="22">
        <v>0</v>
      </c>
      <c r="I48" s="22" t="s">
        <v>282</v>
      </c>
      <c r="J48" s="22">
        <v>0</v>
      </c>
      <c r="K48" s="22">
        <v>0</v>
      </c>
      <c r="L48" s="25" t="str">
        <f>VLOOKUP(表1[[#This Row],[物品名称]],[1]!表1[#Data],2,FALSE)</f>
        <v>红豆</v>
      </c>
      <c r="M48" s="25" t="str">
        <f>VLOOKUP(表1[[#This Row],[物品描述]],[1]!表1[#Data],2,FALSE)</f>
        <v>加工成红豆沙，可以制作豆沙月饼</v>
      </c>
    </row>
    <row r="49" spans="1:13" ht="17.25" x14ac:dyDescent="0.35">
      <c r="A49" s="22" t="s">
        <v>273</v>
      </c>
      <c r="B49" s="23" t="str">
        <f>"item_name_"&amp;表1[[#This Row],[key值]]</f>
        <v>item_name_i312</v>
      </c>
      <c r="C49" s="23" t="str">
        <f>"item_desc_"&amp;表1[[#This Row],[key值]]</f>
        <v>item_desc_i312</v>
      </c>
      <c r="D49" s="22">
        <v>9</v>
      </c>
      <c r="E49" s="22">
        <v>-1</v>
      </c>
      <c r="F49" s="22">
        <v>2</v>
      </c>
      <c r="G49" s="22">
        <v>0</v>
      </c>
      <c r="H49" s="22">
        <v>0</v>
      </c>
      <c r="I49" s="22" t="s">
        <v>283</v>
      </c>
      <c r="J49" s="22">
        <v>0</v>
      </c>
      <c r="K49" s="22">
        <v>0</v>
      </c>
      <c r="L49" s="25" t="str">
        <f>VLOOKUP(表1[[#This Row],[物品名称]],[1]!表1[#Data],2,FALSE)</f>
        <v>火腿</v>
      </c>
      <c r="M49" s="25" t="str">
        <f>VLOOKUP(表1[[#This Row],[物品描述]],[1]!表1[#Data],2,FALSE)</f>
        <v>配上面粉以及辅料，可以制作美味的火腿月饼</v>
      </c>
    </row>
    <row r="50" spans="1:13" ht="17.25" x14ac:dyDescent="0.35">
      <c r="A50" s="22" t="s">
        <v>274</v>
      </c>
      <c r="B50" s="23" t="str">
        <f>"item_name_"&amp;表1[[#This Row],[key值]]</f>
        <v>item_name_i313</v>
      </c>
      <c r="C50" s="23" t="str">
        <f>"item_desc_"&amp;表1[[#This Row],[key值]]</f>
        <v>item_desc_i313</v>
      </c>
      <c r="D50" s="22">
        <v>9</v>
      </c>
      <c r="E50" s="22">
        <v>-1</v>
      </c>
      <c r="F50" s="22">
        <v>4</v>
      </c>
      <c r="G50" s="22">
        <v>0</v>
      </c>
      <c r="H50" s="22">
        <v>0</v>
      </c>
      <c r="I50" s="22" t="s">
        <v>284</v>
      </c>
      <c r="J50" s="22">
        <v>0</v>
      </c>
      <c r="K50" s="22">
        <v>0</v>
      </c>
      <c r="L50" s="25" t="str">
        <f>VLOOKUP(表1[[#This Row],[物品名称]],[1]!表1[#Data],2,FALSE)</f>
        <v>莲蓉</v>
      </c>
      <c r="M50" s="25" t="str">
        <f>VLOOKUP(表1[[#This Row],[物品描述]],[1]!表1[#Data],2,FALSE)</f>
        <v>配上面粉以及辅料，可以制作绝佳的莲蓉月饼</v>
      </c>
    </row>
    <row r="51" spans="1:13" ht="17.25" x14ac:dyDescent="0.35">
      <c r="A51" s="22" t="s">
        <v>275</v>
      </c>
      <c r="B51" s="23" t="str">
        <f>"item_name_"&amp;表1[[#This Row],[key值]]</f>
        <v>item_name_i314</v>
      </c>
      <c r="C51" s="23" t="str">
        <f>"item_desc_"&amp;表1[[#This Row],[key值]]</f>
        <v>item_desc_i314</v>
      </c>
      <c r="D51" s="22">
        <v>9</v>
      </c>
      <c r="E51" s="22">
        <v>-1</v>
      </c>
      <c r="F51" s="22">
        <v>8</v>
      </c>
      <c r="G51" s="22">
        <v>0</v>
      </c>
      <c r="H51" s="22">
        <v>0</v>
      </c>
      <c r="I51" s="22" t="s">
        <v>285</v>
      </c>
      <c r="J51" s="22">
        <v>0</v>
      </c>
      <c r="K51" s="22">
        <v>0</v>
      </c>
      <c r="L51" s="25" t="str">
        <f>VLOOKUP(表1[[#This Row],[物品名称]],[1]!表1[#Data],2,FALSE)</f>
        <v>什锦</v>
      </c>
      <c r="M51" s="25" t="str">
        <f>VLOOKUP(表1[[#This Row],[物品描述]],[1]!表1[#Data],2,FALSE)</f>
        <v>配上面粉以及辅料，可以制作无与伦比的百花什锦月饼</v>
      </c>
    </row>
    <row r="52" spans="1:13" ht="17.25" x14ac:dyDescent="0.35">
      <c r="A52" s="22" t="s">
        <v>276</v>
      </c>
      <c r="B52" s="23" t="str">
        <f>"item_name_"&amp;表1[[#This Row],[key值]]</f>
        <v>item_name_i315</v>
      </c>
      <c r="C52" s="23" t="str">
        <f>"item_desc_"&amp;表1[[#This Row],[key值]]</f>
        <v>item_desc_i315</v>
      </c>
      <c r="D52" s="22">
        <v>7</v>
      </c>
      <c r="E52" s="22">
        <v>-1</v>
      </c>
      <c r="F52" s="22">
        <v>0</v>
      </c>
      <c r="G52" s="22" t="s">
        <v>280</v>
      </c>
      <c r="H52" s="22">
        <v>0</v>
      </c>
      <c r="I52" s="22" t="s">
        <v>308</v>
      </c>
      <c r="J52" s="22">
        <v>0</v>
      </c>
      <c r="K52" s="22">
        <v>0</v>
      </c>
      <c r="L52" s="25" t="str">
        <f>VLOOKUP(表1[[#This Row],[物品名称]],[1]!表1[#Data],2,FALSE)</f>
        <v>食材袋</v>
      </c>
      <c r="M52" s="25" t="str">
        <f>VLOOKUP(表1[[#This Row],[物品描述]],[1]!表1[#Data],2,FALSE)</f>
        <v>装有食材的袋子，里面有各种随机食材</v>
      </c>
    </row>
    <row r="53" spans="1:13" ht="17.25" x14ac:dyDescent="0.35">
      <c r="A53" s="22" t="s">
        <v>277</v>
      </c>
      <c r="B53" s="23" t="str">
        <f>"item_name_"&amp;表1[[#This Row],[key值]]</f>
        <v>item_name_i316</v>
      </c>
      <c r="C53" s="23" t="str">
        <f>"item_desc_"&amp;表1[[#This Row],[key值]]</f>
        <v>item_desc_i316</v>
      </c>
      <c r="D53" s="22">
        <v>7</v>
      </c>
      <c r="E53" s="22">
        <v>-1</v>
      </c>
      <c r="F53" s="22">
        <v>0</v>
      </c>
      <c r="G53" s="22" t="s">
        <v>277</v>
      </c>
      <c r="H53" s="22">
        <v>0</v>
      </c>
      <c r="I53" s="22" t="s">
        <v>286</v>
      </c>
      <c r="J53" s="22">
        <v>0</v>
      </c>
      <c r="K53" s="22">
        <v>0</v>
      </c>
      <c r="L53" s="25" t="str">
        <f>VLOOKUP(表1[[#This Row],[物品名称]],[1]!表1[#Data],2,FALSE)</f>
        <v>豆沙月饼</v>
      </c>
      <c r="M53" s="25" t="str">
        <f>VLOOKUP(表1[[#This Row],[物品描述]],[1]!表1[#Data],2,FALSE)</f>
        <v>普通的豆沙月饼，中秋节食用，还可获得额外惊喜</v>
      </c>
    </row>
    <row r="54" spans="1:13" ht="17.25" x14ac:dyDescent="0.35">
      <c r="A54" s="22" t="s">
        <v>278</v>
      </c>
      <c r="B54" s="23" t="str">
        <f>"item_name_"&amp;表1[[#This Row],[key值]]</f>
        <v>item_name_i317</v>
      </c>
      <c r="C54" s="23" t="str">
        <f>"item_desc_"&amp;表1[[#This Row],[key值]]</f>
        <v>item_desc_i317</v>
      </c>
      <c r="D54" s="22">
        <v>7</v>
      </c>
      <c r="E54" s="22">
        <v>-1</v>
      </c>
      <c r="F54" s="22">
        <v>0</v>
      </c>
      <c r="G54" s="22" t="s">
        <v>278</v>
      </c>
      <c r="H54" s="22">
        <v>0</v>
      </c>
      <c r="I54" s="22" t="s">
        <v>287</v>
      </c>
      <c r="J54" s="22">
        <v>0</v>
      </c>
      <c r="K54" s="22">
        <v>0</v>
      </c>
      <c r="L54" s="25" t="str">
        <f>VLOOKUP(表1[[#This Row],[物品名称]],[1]!表1[#Data],2,FALSE)</f>
        <v>火腿月饼</v>
      </c>
      <c r="M54" s="25" t="str">
        <f>VLOOKUP(表1[[#This Row],[物品描述]],[1]!表1[#Data],2,FALSE)</f>
        <v>美味的火腿月饼，中秋节食用，还可获得额外惊喜</v>
      </c>
    </row>
    <row r="55" spans="1:13" ht="17.25" x14ac:dyDescent="0.35">
      <c r="A55" s="22" t="s">
        <v>279</v>
      </c>
      <c r="B55" s="23" t="str">
        <f>"item_name_"&amp;表1[[#This Row],[key值]]</f>
        <v>item_name_i318</v>
      </c>
      <c r="C55" s="23" t="str">
        <f>"item_desc_"&amp;表1[[#This Row],[key值]]</f>
        <v>item_desc_i318</v>
      </c>
      <c r="D55" s="22">
        <v>7</v>
      </c>
      <c r="E55" s="22">
        <v>-1</v>
      </c>
      <c r="F55" s="22">
        <v>0</v>
      </c>
      <c r="G55" s="22" t="s">
        <v>279</v>
      </c>
      <c r="H55" s="22">
        <v>0</v>
      </c>
      <c r="I55" s="22" t="s">
        <v>288</v>
      </c>
      <c r="J55" s="22">
        <v>0</v>
      </c>
      <c r="K55" s="22">
        <v>0</v>
      </c>
      <c r="L55" s="25" t="str">
        <f>VLOOKUP(表1[[#This Row],[物品名称]],[1]!表1[#Data],2,FALSE)</f>
        <v>莲蓉月饼</v>
      </c>
      <c r="M55" s="25" t="str">
        <f>VLOOKUP(表1[[#This Row],[物品描述]],[1]!表1[#Data],2,FALSE)</f>
        <v>绝佳的莲蓉月饼，中秋节食用，还可获得额外惊喜</v>
      </c>
    </row>
    <row r="56" spans="1:13" ht="17.25" x14ac:dyDescent="0.35">
      <c r="A56" s="22" t="s">
        <v>290</v>
      </c>
      <c r="B56" s="23" t="str">
        <f>"item_name_"&amp;表1[[#This Row],[key值]]</f>
        <v>item_name_i319</v>
      </c>
      <c r="C56" s="23" t="str">
        <f>"item_desc_"&amp;表1[[#This Row],[key值]]</f>
        <v>item_desc_i319</v>
      </c>
      <c r="D56" s="22">
        <v>7</v>
      </c>
      <c r="E56" s="22">
        <v>-1</v>
      </c>
      <c r="F56" s="22">
        <v>0</v>
      </c>
      <c r="G56" s="22" t="s">
        <v>305</v>
      </c>
      <c r="H56" s="22">
        <v>0</v>
      </c>
      <c r="I56" s="22" t="s">
        <v>289</v>
      </c>
      <c r="J56" s="22">
        <v>0</v>
      </c>
      <c r="K56" s="22">
        <v>0</v>
      </c>
      <c r="L56" s="25" t="str">
        <f>VLOOKUP(表1[[#This Row],[物品名称]],[1]!表1[#Data],2,FALSE)</f>
        <v>百花什锦月</v>
      </c>
      <c r="M56" s="25" t="str">
        <f>VLOOKUP(表1[[#This Row],[物品描述]],[1]!表1[#Data],2,FALSE)</f>
        <v>无与伦比的百花什锦月饼，中秋节食用，每天食用第80个时必然获得【中秋限定】皮肤</v>
      </c>
    </row>
    <row r="57" spans="1:13" ht="17.25" x14ac:dyDescent="0.35">
      <c r="A57" s="22" t="s">
        <v>322</v>
      </c>
      <c r="B57" s="23" t="str">
        <f>"item_name_"&amp;表1[[#This Row],[key值]]</f>
        <v>item_name_i320</v>
      </c>
      <c r="C57" s="23" t="str">
        <f>"item_desc_"&amp;表1[[#This Row],[key值]]</f>
        <v>item_desc_i320</v>
      </c>
      <c r="D57" s="22">
        <v>7</v>
      </c>
      <c r="E57" s="22">
        <v>-1</v>
      </c>
      <c r="F57" s="22">
        <v>0</v>
      </c>
      <c r="G57" s="22" t="s">
        <v>323</v>
      </c>
      <c r="H57" s="22">
        <v>0</v>
      </c>
      <c r="I57" s="22" t="s">
        <v>324</v>
      </c>
      <c r="J57" s="22">
        <v>0</v>
      </c>
      <c r="K57" s="22">
        <v>0</v>
      </c>
      <c r="L57" s="25" t="str">
        <f>VLOOKUP(表1[[#This Row],[物品名称]],[1]!表1[#Data],2,FALSE)</f>
        <v>南瓜灯</v>
      </c>
      <c r="M57" s="25" t="str">
        <f>VLOOKUP(表1[[#This Row],[物品描述]],[1]!表1[#Data],2,FALSE)</f>
        <v>知道南瓜灯里面有什么吗？累计第50次打开获得【嫦娥女神魂石*50】、第100次打开获得【青铜弹头*100】！</v>
      </c>
    </row>
    <row r="58" spans="1:13" ht="17.25" x14ac:dyDescent="0.35">
      <c r="A58" s="22" t="s">
        <v>325</v>
      </c>
      <c r="B58" s="23" t="str">
        <f>"item_name_"&amp;表1[[#This Row],[key值]]</f>
        <v>item_name_i321</v>
      </c>
      <c r="C58" s="23" t="str">
        <f>"item_desc_"&amp;表1[[#This Row],[key值]]</f>
        <v>item_desc_i321</v>
      </c>
      <c r="D58" s="22">
        <v>7</v>
      </c>
      <c r="E58" s="22">
        <v>-1</v>
      </c>
      <c r="F58" s="22">
        <v>0</v>
      </c>
      <c r="G58" s="22" t="s">
        <v>325</v>
      </c>
      <c r="H58" s="22">
        <v>0</v>
      </c>
      <c r="I58" s="22" t="s">
        <v>326</v>
      </c>
      <c r="J58" s="22">
        <v>2</v>
      </c>
      <c r="K58" s="22">
        <v>1</v>
      </c>
      <c r="L58" s="25" t="str">
        <f>VLOOKUP(表1[[#This Row],[物品名称]],[1]!表1[#Data],2,FALSE)</f>
        <v>南瓜派</v>
      </c>
      <c r="M58" s="25" t="str">
        <f>VLOOKUP(表1[[#This Row],[物品描述]],[1]!表1[#Data],2,FALSE)</f>
        <v>味道奇特的南瓜派！每天第20次打开获得【嫦娥女神魂石*2】、第60次打开获得【100万金币卡*1】！</v>
      </c>
    </row>
    <row r="59" spans="1:13" ht="17.25" x14ac:dyDescent="0.35">
      <c r="A59" s="22" t="s">
        <v>204</v>
      </c>
      <c r="B59" s="23" t="str">
        <f>"item_name_"&amp;表1[[#This Row],[key值]]</f>
        <v>item_name_i400</v>
      </c>
      <c r="C59" s="23" t="str">
        <f>"item_desc_"&amp;表1[[#This Row],[key值]]</f>
        <v>item_desc_i400</v>
      </c>
      <c r="D59" s="22">
        <v>9</v>
      </c>
      <c r="E59" s="22">
        <v>-1</v>
      </c>
      <c r="F59" s="22">
        <v>0</v>
      </c>
      <c r="G59" s="22">
        <v>0</v>
      </c>
      <c r="H59" s="22">
        <v>0</v>
      </c>
      <c r="I59" s="22" t="s">
        <v>206</v>
      </c>
      <c r="J59" s="22">
        <v>0</v>
      </c>
      <c r="K59" s="22">
        <v>0</v>
      </c>
      <c r="L59" s="25" t="str">
        <f>VLOOKUP(表1[[#This Row],[物品名称]],[1]!表1[#Data],2,FALSE)</f>
        <v>鲜花</v>
      </c>
      <c r="M59" s="25" t="str">
        <f>VLOOKUP(表1[[#This Row],[物品描述]],[1]!表1[#Data],2,FALSE)</f>
        <v>赠予他人，代表仰慕之意，受赠之人可额外获得魅力值！</v>
      </c>
    </row>
    <row r="60" spans="1:13" ht="17.25" x14ac:dyDescent="0.35">
      <c r="A60" s="22" t="s">
        <v>90</v>
      </c>
      <c r="B60" s="23" t="str">
        <f>"item_name_"&amp;表1[[#This Row],[key值]]</f>
        <v>item_name_i401</v>
      </c>
      <c r="C60" s="23" t="str">
        <f>"item_desc_"&amp;表1[[#This Row],[key值]]</f>
        <v>item_desc_i401</v>
      </c>
      <c r="D60" s="22">
        <v>8</v>
      </c>
      <c r="E60" s="22">
        <v>-1</v>
      </c>
      <c r="F60" s="22">
        <v>0</v>
      </c>
      <c r="G60" s="22">
        <v>0</v>
      </c>
      <c r="H60" s="22">
        <v>0</v>
      </c>
      <c r="I60" s="26" t="s">
        <v>181</v>
      </c>
      <c r="J60" s="22">
        <v>0</v>
      </c>
      <c r="K60" s="22">
        <v>0</v>
      </c>
      <c r="L60" s="24" t="str">
        <f>VLOOKUP(表1[[#This Row],[物品名称]],[1]!表1[#Data],2,FALSE)</f>
        <v>青铜弹头零件</v>
      </c>
      <c r="M60" s="24" t="str">
        <f>VLOOKUP(表1[[#This Row],[物品描述]],[1]!表1[#Data],2,FALSE)</f>
        <v>青铜弹头零件，集齐10个可以合成1枚青铜弹头</v>
      </c>
    </row>
    <row r="61" spans="1:13" ht="17.25" x14ac:dyDescent="0.35">
      <c r="A61" s="22" t="s">
        <v>91</v>
      </c>
      <c r="B61" s="23" t="str">
        <f>"item_name_"&amp;表1[[#This Row],[key值]]</f>
        <v>item_name_i402</v>
      </c>
      <c r="C61" s="23" t="str">
        <f>"item_desc_"&amp;表1[[#This Row],[key值]]</f>
        <v>item_desc_i402</v>
      </c>
      <c r="D61" s="22">
        <v>8</v>
      </c>
      <c r="E61" s="22">
        <v>-1</v>
      </c>
      <c r="F61" s="22">
        <v>0</v>
      </c>
      <c r="G61" s="22">
        <v>0</v>
      </c>
      <c r="H61" s="22">
        <v>0</v>
      </c>
      <c r="I61" s="26" t="s">
        <v>182</v>
      </c>
      <c r="J61" s="22">
        <v>0</v>
      </c>
      <c r="K61" s="22">
        <v>0</v>
      </c>
      <c r="L61" s="24" t="str">
        <f>VLOOKUP(表1[[#This Row],[物品名称]],[1]!表1[#Data],2,FALSE)</f>
        <v>白银弹头零件</v>
      </c>
      <c r="M61" s="24" t="str">
        <f>VLOOKUP(表1[[#This Row],[物品描述]],[1]!表1[#Data],2,FALSE)</f>
        <v>白银弹头零件，集齐30个可以合成1枚白银弹头</v>
      </c>
    </row>
    <row r="62" spans="1:13" ht="17.25" x14ac:dyDescent="0.35">
      <c r="A62" s="22" t="s">
        <v>92</v>
      </c>
      <c r="B62" s="23" t="str">
        <f>"item_name_"&amp;表1[[#This Row],[key值]]</f>
        <v>item_name_i403</v>
      </c>
      <c r="C62" s="23" t="str">
        <f>"item_desc_"&amp;表1[[#This Row],[key值]]</f>
        <v>item_desc_i403</v>
      </c>
      <c r="D62" s="22">
        <v>8</v>
      </c>
      <c r="E62" s="22">
        <v>-1</v>
      </c>
      <c r="F62" s="22">
        <v>0</v>
      </c>
      <c r="G62" s="22">
        <v>0</v>
      </c>
      <c r="H62" s="22">
        <v>0</v>
      </c>
      <c r="I62" s="26" t="s">
        <v>93</v>
      </c>
      <c r="J62" s="22">
        <v>0</v>
      </c>
      <c r="K62" s="22">
        <v>0</v>
      </c>
      <c r="L62" s="24" t="str">
        <f>VLOOKUP(表1[[#This Row],[物品名称]],[1]!表1[#Data],2,FALSE)</f>
        <v>黄金弹头零件</v>
      </c>
      <c r="M62" s="24" t="str">
        <f>VLOOKUP(表1[[#This Row],[物品描述]],[1]!表1[#Data],2,FALSE)</f>
        <v>黄金弹头零件，集齐100个可以合成1枚黄金弹头</v>
      </c>
    </row>
    <row r="63" spans="1:13" ht="17.25" x14ac:dyDescent="0.35">
      <c r="A63" s="22" t="s">
        <v>232</v>
      </c>
      <c r="B63" s="23" t="str">
        <f>"item_name_"&amp;表1[[#This Row],[key值]]</f>
        <v>item_name_i410</v>
      </c>
      <c r="C63" s="23" t="str">
        <f>"item_desc_"&amp;表1[[#This Row],[key值]]</f>
        <v>item_desc_i410</v>
      </c>
      <c r="D63" s="22">
        <v>7</v>
      </c>
      <c r="E63" s="22">
        <v>-1</v>
      </c>
      <c r="F63" s="22">
        <v>0</v>
      </c>
      <c r="G63" s="22" t="s">
        <v>269</v>
      </c>
      <c r="H63" s="22">
        <v>0</v>
      </c>
      <c r="I63" s="22" t="s">
        <v>270</v>
      </c>
      <c r="J63" s="22">
        <v>0</v>
      </c>
      <c r="K63" s="22">
        <v>0</v>
      </c>
      <c r="L63" s="25" t="str">
        <f>VLOOKUP(表1[[#This Row],[物品名称]],[1]!表1[#Data],2,FALSE)</f>
        <v>鲜花礼盒</v>
      </c>
      <c r="M63" s="25" t="str">
        <f>VLOOKUP(表1[[#This Row],[物品描述]],[1]!表1[#Data],2,FALSE)</f>
        <v>打赏的鲜花转化成鲜花礼盒，不能转赠他人，使用可随机获得道具，每天第50次使用必然获得神秘大奖！</v>
      </c>
    </row>
    <row r="64" spans="1:13" ht="17.25" x14ac:dyDescent="0.35">
      <c r="A64" s="22" t="s">
        <v>313</v>
      </c>
      <c r="B64" s="23" t="str">
        <f>"item_name_"&amp;表1[[#This Row],[key值]]</f>
        <v>item_name_i420</v>
      </c>
      <c r="C64" s="23" t="str">
        <f>"item_desc_"&amp;表1[[#This Row],[key值]]</f>
        <v>item_desc_i420</v>
      </c>
      <c r="D64" s="22">
        <v>8</v>
      </c>
      <c r="E64" s="22">
        <v>-1</v>
      </c>
      <c r="F64" s="22">
        <v>0</v>
      </c>
      <c r="G64" s="22">
        <v>0</v>
      </c>
      <c r="H64" s="22">
        <v>0</v>
      </c>
      <c r="I64" s="22" t="s">
        <v>316</v>
      </c>
      <c r="J64" s="22">
        <v>0</v>
      </c>
      <c r="K64" s="22">
        <v>0</v>
      </c>
      <c r="L64" s="25" t="str">
        <f>VLOOKUP(表1[[#This Row],[物品名称]],[1]!表1[#Data],2,FALSE)</f>
        <v>100万金币卡碎片</v>
      </c>
      <c r="M64" s="25" t="str">
        <f>VLOOKUP(表1[[#This Row],[物品描述]],[1]!表1[#Data],2,FALSE)</f>
        <v>集齐10个可以合成一张【100万金币卡】</v>
      </c>
    </row>
    <row r="65" spans="1:13" ht="17.25" x14ac:dyDescent="0.35">
      <c r="A65" s="22" t="s">
        <v>94</v>
      </c>
      <c r="B65" s="23" t="str">
        <f>"item_name_"&amp;表1[[#This Row],[key值]]</f>
        <v>item_name_i500</v>
      </c>
      <c r="C65" s="23" t="str">
        <f>"item_desc_"&amp;表1[[#This Row],[key值]]</f>
        <v>item_desc_i500</v>
      </c>
      <c r="D65" s="22">
        <v>9</v>
      </c>
      <c r="E65" s="22">
        <v>-1</v>
      </c>
      <c r="F65" s="22">
        <v>100</v>
      </c>
      <c r="G65" s="22">
        <v>0</v>
      </c>
      <c r="H65" s="22">
        <v>0</v>
      </c>
      <c r="I65" s="22" t="s">
        <v>95</v>
      </c>
      <c r="J65" s="22">
        <v>0</v>
      </c>
      <c r="K65" s="22">
        <v>0</v>
      </c>
      <c r="L65" s="24" t="str">
        <f>VLOOKUP(表1[[#This Row],[物品名称]],[1]!表1[#Data],2,FALSE)</f>
        <v>陨石精华</v>
      </c>
      <c r="M65" s="24" t="str">
        <f>VLOOKUP(表1[[#This Row],[物品描述]],[1]!表1[#Data],2,FALSE)</f>
        <v>天外奇石，奇硬无比，锻造武器时使用，可提高成功率！也可出售获得100钻石！</v>
      </c>
    </row>
    <row r="66" spans="1:13" ht="17.25" x14ac:dyDescent="0.35">
      <c r="A66" s="22" t="s">
        <v>96</v>
      </c>
      <c r="B66" s="23" t="str">
        <f>"item_name_"&amp;表1[[#This Row],[key值]]</f>
        <v>item_name_i501</v>
      </c>
      <c r="C66" s="23" t="str">
        <f>"item_desc_"&amp;表1[[#This Row],[key值]]</f>
        <v>item_desc_i501</v>
      </c>
      <c r="D66" s="22">
        <v>8</v>
      </c>
      <c r="E66" s="22">
        <v>-1</v>
      </c>
      <c r="F66" s="22">
        <v>2</v>
      </c>
      <c r="G66" s="22">
        <v>0</v>
      </c>
      <c r="H66" s="22">
        <v>0</v>
      </c>
      <c r="I66" s="22" t="s">
        <v>184</v>
      </c>
      <c r="J66" s="22">
        <v>0</v>
      </c>
      <c r="K66" s="22">
        <v>0</v>
      </c>
      <c r="L66" s="24" t="str">
        <f>VLOOKUP(表1[[#This Row],[物品名称]],[1]!表1[#Data],2,FALSE)</f>
        <v>电之石</v>
      </c>
      <c r="M66" s="24" t="str">
        <f>VLOOKUP(表1[[#This Row],[物品描述]],[1]!表1[#Data],2,FALSE)</f>
        <v>天外飞石，武器1000倍后升级用，在神秘海域、藏宝海湾捕获奖金鱼和BOSS掉落！</v>
      </c>
    </row>
    <row r="67" spans="1:13" ht="17.25" x14ac:dyDescent="0.35">
      <c r="A67" s="22" t="s">
        <v>97</v>
      </c>
      <c r="B67" s="23" t="str">
        <f>"item_name_"&amp;表1[[#This Row],[key值]]</f>
        <v>item_name_i502</v>
      </c>
      <c r="C67" s="23" t="str">
        <f>"item_desc_"&amp;表1[[#This Row],[key值]]</f>
        <v>item_desc_i502</v>
      </c>
      <c r="D67" s="22">
        <v>8</v>
      </c>
      <c r="E67" s="22">
        <v>-1</v>
      </c>
      <c r="F67" s="22">
        <v>2</v>
      </c>
      <c r="G67" s="22">
        <v>0</v>
      </c>
      <c r="H67" s="22">
        <v>0</v>
      </c>
      <c r="I67" s="22" t="s">
        <v>186</v>
      </c>
      <c r="J67" s="22">
        <v>0</v>
      </c>
      <c r="K67" s="22">
        <v>0</v>
      </c>
      <c r="L67" s="24" t="str">
        <f>VLOOKUP(表1[[#This Row],[物品名称]],[1]!表1[#Data],2,FALSE)</f>
        <v>火之石</v>
      </c>
      <c r="M67" s="24" t="str">
        <f>VLOOKUP(表1[[#This Row],[物品描述]],[1]!表1[#Data],2,FALSE)</f>
        <v>天外飞石，武器1000倍后升级用，在神秘海域、藏宝海湾捕获奖金鱼和BOSS掉落！</v>
      </c>
    </row>
    <row r="68" spans="1:13" ht="17.25" x14ac:dyDescent="0.35">
      <c r="A68" s="22" t="s">
        <v>98</v>
      </c>
      <c r="B68" s="23" t="str">
        <f>"item_name_"&amp;表1[[#This Row],[key值]]</f>
        <v>item_name_i503</v>
      </c>
      <c r="C68" s="23" t="str">
        <f>"item_desc_"&amp;表1[[#This Row],[key值]]</f>
        <v>item_desc_i503</v>
      </c>
      <c r="D68" s="22">
        <v>8</v>
      </c>
      <c r="E68" s="22">
        <v>-1</v>
      </c>
      <c r="F68" s="22">
        <v>2</v>
      </c>
      <c r="G68" s="22">
        <v>0</v>
      </c>
      <c r="H68" s="22">
        <v>0</v>
      </c>
      <c r="I68" s="22" t="s">
        <v>187</v>
      </c>
      <c r="J68" s="22">
        <v>0</v>
      </c>
      <c r="K68" s="22">
        <v>0</v>
      </c>
      <c r="L68" s="24" t="str">
        <f>VLOOKUP(表1[[#This Row],[物品名称]],[1]!表1[#Data],2,FALSE)</f>
        <v>血之石</v>
      </c>
      <c r="M68" s="24" t="str">
        <f>VLOOKUP(表1[[#This Row],[物品描述]],[1]!表1[#Data],2,FALSE)</f>
        <v>天外飞石，武器1000倍后升级用，在神秘海域、藏宝海湾捕获奖金鱼和BOSS掉落！</v>
      </c>
    </row>
    <row r="69" spans="1:13" ht="17.25" x14ac:dyDescent="0.35">
      <c r="A69" s="22" t="s">
        <v>99</v>
      </c>
      <c r="B69" s="23" t="str">
        <f>"item_name_"&amp;表1[[#This Row],[key值]]</f>
        <v>item_name_i504</v>
      </c>
      <c r="C69" s="23" t="str">
        <f>"item_desc_"&amp;表1[[#This Row],[key值]]</f>
        <v>item_desc_i504</v>
      </c>
      <c r="D69" s="22">
        <v>8</v>
      </c>
      <c r="E69" s="22">
        <v>-1</v>
      </c>
      <c r="F69" s="22">
        <v>2</v>
      </c>
      <c r="G69" s="22">
        <v>0</v>
      </c>
      <c r="H69" s="22">
        <v>0</v>
      </c>
      <c r="I69" s="22" t="s">
        <v>183</v>
      </c>
      <c r="J69" s="22">
        <v>0</v>
      </c>
      <c r="K69" s="22">
        <v>0</v>
      </c>
      <c r="L69" s="24" t="str">
        <f>VLOOKUP(表1[[#This Row],[物品名称]],[1]!表1[#Data],2,FALSE)</f>
        <v>暗之石</v>
      </c>
      <c r="M69" s="24" t="str">
        <f>VLOOKUP(表1[[#This Row],[物品描述]],[1]!表1[#Data],2,FALSE)</f>
        <v>天外飞石，武器1000倍后升级用，在神秘海域、藏宝海湾捕获奖金鱼和BOSS掉落！</v>
      </c>
    </row>
    <row r="70" spans="1:13" ht="17.25" x14ac:dyDescent="0.35">
      <c r="A70" s="22" t="s">
        <v>100</v>
      </c>
      <c r="B70" s="23" t="str">
        <f>"item_name_"&amp;表1[[#This Row],[key值]]</f>
        <v>item_name_i505</v>
      </c>
      <c r="C70" s="23" t="str">
        <f>"item_desc_"&amp;表1[[#This Row],[key值]]</f>
        <v>item_desc_i505</v>
      </c>
      <c r="D70" s="22">
        <v>8</v>
      </c>
      <c r="E70" s="22">
        <v>-1</v>
      </c>
      <c r="F70" s="22">
        <v>2</v>
      </c>
      <c r="G70" s="22">
        <v>0</v>
      </c>
      <c r="H70" s="22">
        <v>0</v>
      </c>
      <c r="I70" s="22" t="s">
        <v>185</v>
      </c>
      <c r="J70" s="22">
        <v>0</v>
      </c>
      <c r="K70" s="22">
        <v>0</v>
      </c>
      <c r="L70" s="24" t="str">
        <f>VLOOKUP(表1[[#This Row],[物品名称]],[1]!表1[#Data],2,FALSE)</f>
        <v>地之石</v>
      </c>
      <c r="M70" s="24" t="str">
        <f>VLOOKUP(表1[[#This Row],[物品描述]],[1]!表1[#Data],2,FALSE)</f>
        <v>天外飞石，武器1000倍后升级用，在神秘海域、藏宝海湾捕获奖金鱼和BOSS掉落！</v>
      </c>
    </row>
    <row r="71" spans="1:13" ht="17.25" x14ac:dyDescent="0.35">
      <c r="A71" s="27" t="s">
        <v>101</v>
      </c>
      <c r="B71" s="23" t="str">
        <f>"item_name_"&amp;表1[[#This Row],[key值]]</f>
        <v>item_name_i601</v>
      </c>
      <c r="C71" s="23" t="str">
        <f>"item_desc_"&amp;表1[[#This Row],[key值]]</f>
        <v>item_desc_i601</v>
      </c>
      <c r="D71" s="22">
        <v>4</v>
      </c>
      <c r="E71" s="22">
        <v>-1</v>
      </c>
      <c r="F71" s="22">
        <v>1</v>
      </c>
      <c r="G71" s="22">
        <v>0</v>
      </c>
      <c r="H71" s="22">
        <v>0</v>
      </c>
      <c r="I71" s="22" t="s">
        <v>102</v>
      </c>
      <c r="J71" s="22">
        <v>0</v>
      </c>
      <c r="K71" s="22">
        <v>0</v>
      </c>
      <c r="L71" s="25" t="str">
        <f>VLOOKUP(表1[[#This Row],[物品名称]],[1]!表1[#Data],2,FALSE)</f>
        <v>水晶鱼碎片</v>
      </c>
      <c r="M71" s="25" t="str">
        <f>VLOOKUP(表1[[#This Row],[物品描述]],[1]!表1[#Data],2,FALSE)</f>
        <v>水晶鱼碎片,可在捕鱼时掉落碎片,用来升级宠物鱼</v>
      </c>
    </row>
    <row r="72" spans="1:13" ht="17.25" x14ac:dyDescent="0.35">
      <c r="A72" s="27" t="s">
        <v>103</v>
      </c>
      <c r="B72" s="23" t="str">
        <f>"item_name_"&amp;表1[[#This Row],[key值]]</f>
        <v>item_name_i602</v>
      </c>
      <c r="C72" s="23" t="str">
        <f>"item_desc_"&amp;表1[[#This Row],[key值]]</f>
        <v>item_desc_i602</v>
      </c>
      <c r="D72" s="22">
        <v>4</v>
      </c>
      <c r="E72" s="22">
        <v>-1</v>
      </c>
      <c r="F72" s="22">
        <v>1</v>
      </c>
      <c r="G72" s="22">
        <v>0</v>
      </c>
      <c r="H72" s="22">
        <v>0</v>
      </c>
      <c r="I72" s="22" t="s">
        <v>104</v>
      </c>
      <c r="J72" s="22">
        <v>0</v>
      </c>
      <c r="K72" s="22">
        <v>0</v>
      </c>
      <c r="L72" s="25" t="str">
        <f>VLOOKUP(表1[[#This Row],[物品名称]],[1]!表1[#Data],2,FALSE)</f>
        <v>大白鲨碎片</v>
      </c>
      <c r="M72" s="25" t="str">
        <f>VLOOKUP(表1[[#This Row],[物品描述]],[1]!表1[#Data],2,FALSE)</f>
        <v>大白鲨碎片,可在捕鱼时掉落碎片,用来升级宠物鱼</v>
      </c>
    </row>
    <row r="73" spans="1:13" ht="17.25" x14ac:dyDescent="0.35">
      <c r="A73" s="27" t="s">
        <v>105</v>
      </c>
      <c r="B73" s="23" t="str">
        <f>"item_name_"&amp;表1[[#This Row],[key值]]</f>
        <v>item_name_i603</v>
      </c>
      <c r="C73" s="23" t="str">
        <f>"item_desc_"&amp;表1[[#This Row],[key值]]</f>
        <v>item_desc_i603</v>
      </c>
      <c r="D73" s="22">
        <v>4</v>
      </c>
      <c r="E73" s="22">
        <v>-1</v>
      </c>
      <c r="F73" s="22">
        <v>1</v>
      </c>
      <c r="G73" s="22">
        <v>0</v>
      </c>
      <c r="H73" s="22">
        <v>0</v>
      </c>
      <c r="I73" s="22" t="s">
        <v>106</v>
      </c>
      <c r="J73" s="22">
        <v>0</v>
      </c>
      <c r="K73" s="22">
        <v>0</v>
      </c>
      <c r="L73" s="25" t="str">
        <f>VLOOKUP(表1[[#This Row],[物品名称]],[1]!表1[#Data],2,FALSE)</f>
        <v>小丑鱼碎片</v>
      </c>
      <c r="M73" s="25" t="str">
        <f>VLOOKUP(表1[[#This Row],[物品描述]],[1]!表1[#Data],2,FALSE)</f>
        <v>小丑鱼碎片,可在捕鱼时掉落碎片,用来升级宠物鱼</v>
      </c>
    </row>
    <row r="74" spans="1:13" ht="17.25" x14ac:dyDescent="0.35">
      <c r="A74" s="27" t="s">
        <v>107</v>
      </c>
      <c r="B74" s="23" t="str">
        <f>"item_name_"&amp;表1[[#This Row],[key值]]</f>
        <v>item_name_i604</v>
      </c>
      <c r="C74" s="23" t="str">
        <f>"item_desc_"&amp;表1[[#This Row],[key值]]</f>
        <v>item_desc_i604</v>
      </c>
      <c r="D74" s="22">
        <v>4</v>
      </c>
      <c r="E74" s="22">
        <v>-1</v>
      </c>
      <c r="F74" s="22">
        <v>1</v>
      </c>
      <c r="G74" s="22">
        <v>0</v>
      </c>
      <c r="H74" s="22">
        <v>0</v>
      </c>
      <c r="I74" s="22" t="s">
        <v>108</v>
      </c>
      <c r="J74" s="22">
        <v>0</v>
      </c>
      <c r="K74" s="22">
        <v>0</v>
      </c>
      <c r="L74" s="25" t="str">
        <f>VLOOKUP(表1[[#This Row],[物品名称]],[1]!表1[#Data],2,FALSE)</f>
        <v>虎鲸碎片</v>
      </c>
      <c r="M74" s="25" t="str">
        <f>VLOOKUP(表1[[#This Row],[物品描述]],[1]!表1[#Data],2,FALSE)</f>
        <v>虎鲸碎片,可在捕鱼时掉落碎片,用来升级宠物鱼</v>
      </c>
    </row>
    <row r="75" spans="1:13" ht="17.25" x14ac:dyDescent="0.35">
      <c r="A75" s="27" t="s">
        <v>109</v>
      </c>
      <c r="B75" s="23" t="str">
        <f>"item_name_"&amp;表1[[#This Row],[key值]]</f>
        <v>item_name_i605</v>
      </c>
      <c r="C75" s="23" t="str">
        <f>"item_desc_"&amp;表1[[#This Row],[key值]]</f>
        <v>item_desc_i605</v>
      </c>
      <c r="D75" s="22">
        <v>4</v>
      </c>
      <c r="E75" s="22">
        <v>-1</v>
      </c>
      <c r="F75" s="22">
        <v>1</v>
      </c>
      <c r="G75" s="22">
        <v>0</v>
      </c>
      <c r="H75" s="22">
        <v>0</v>
      </c>
      <c r="I75" s="22" t="s">
        <v>110</v>
      </c>
      <c r="J75" s="22">
        <v>0</v>
      </c>
      <c r="K75" s="22">
        <v>0</v>
      </c>
      <c r="L75" s="25" t="str">
        <f>VLOOKUP(表1[[#This Row],[物品名称]],[1]!表1[#Data],2,FALSE)</f>
        <v>河豚碎片</v>
      </c>
      <c r="M75" s="25" t="str">
        <f>VLOOKUP(表1[[#This Row],[物品描述]],[1]!表1[#Data],2,FALSE)</f>
        <v>河豚碎片,可在捕鱼时掉落碎片,用来升级宠物鱼</v>
      </c>
    </row>
    <row r="76" spans="1:13" ht="17.25" x14ac:dyDescent="0.35">
      <c r="A76" s="27" t="s">
        <v>111</v>
      </c>
      <c r="B76" s="23" t="str">
        <f>"item_name_"&amp;表1[[#This Row],[key值]]</f>
        <v>item_name_i607</v>
      </c>
      <c r="C76" s="23" t="str">
        <f>"item_desc_"&amp;表1[[#This Row],[key值]]</f>
        <v>item_desc_i607</v>
      </c>
      <c r="D76" s="22">
        <v>4</v>
      </c>
      <c r="E76" s="22">
        <v>-1</v>
      </c>
      <c r="F76" s="22">
        <v>1</v>
      </c>
      <c r="G76" s="22">
        <v>0</v>
      </c>
      <c r="H76" s="22">
        <v>0</v>
      </c>
      <c r="I76" s="22" t="s">
        <v>112</v>
      </c>
      <c r="J76" s="22">
        <v>0</v>
      </c>
      <c r="K76" s="22">
        <v>0</v>
      </c>
      <c r="L76" s="25" t="str">
        <f>VLOOKUP(表1[[#This Row],[物品名称]],[1]!表1[#Data],2,FALSE)</f>
        <v>角蝶碎片</v>
      </c>
      <c r="M76" s="25" t="str">
        <f>VLOOKUP(表1[[#This Row],[物品描述]],[1]!表1[#Data],2,FALSE)</f>
        <v>角蝶碎片,可在捕鱼时掉落碎片,用来升级宠物鱼</v>
      </c>
    </row>
    <row r="77" spans="1:13" ht="17.25" x14ac:dyDescent="0.35">
      <c r="A77" s="27" t="s">
        <v>113</v>
      </c>
      <c r="B77" s="23" t="str">
        <f>"item_name_"&amp;表1[[#This Row],[key值]]</f>
        <v>item_name_i608</v>
      </c>
      <c r="C77" s="23" t="str">
        <f>"item_desc_"&amp;表1[[#This Row],[key值]]</f>
        <v>item_desc_i608</v>
      </c>
      <c r="D77" s="22">
        <v>4</v>
      </c>
      <c r="E77" s="22">
        <v>-1</v>
      </c>
      <c r="F77" s="22">
        <v>1</v>
      </c>
      <c r="G77" s="22">
        <v>0</v>
      </c>
      <c r="H77" s="22">
        <v>0</v>
      </c>
      <c r="I77" s="22" t="s">
        <v>114</v>
      </c>
      <c r="J77" s="22">
        <v>0</v>
      </c>
      <c r="K77" s="22">
        <v>0</v>
      </c>
      <c r="L77" s="25" t="str">
        <f>VLOOKUP(表1[[#This Row],[物品名称]],[1]!表1[#Data],2,FALSE)</f>
        <v>魔鬼鱼碎片</v>
      </c>
      <c r="M77" s="25" t="str">
        <f>VLOOKUP(表1[[#This Row],[物品描述]],[1]!表1[#Data],2,FALSE)</f>
        <v>魔鬼鱼碎片,可在捕鱼时掉落碎片,用来升级宠物鱼</v>
      </c>
    </row>
    <row r="78" spans="1:13" ht="17.25" x14ac:dyDescent="0.35">
      <c r="A78" s="27" t="s">
        <v>115</v>
      </c>
      <c r="B78" s="23" t="str">
        <f>"item_name_"&amp;表1[[#This Row],[key值]]</f>
        <v>item_name_i609</v>
      </c>
      <c r="C78" s="23" t="str">
        <f>"item_desc_"&amp;表1[[#This Row],[key值]]</f>
        <v>item_desc_i609</v>
      </c>
      <c r="D78" s="22">
        <v>4</v>
      </c>
      <c r="E78" s="22">
        <v>-1</v>
      </c>
      <c r="F78" s="22">
        <v>1</v>
      </c>
      <c r="G78" s="22">
        <v>0</v>
      </c>
      <c r="H78" s="22">
        <v>0</v>
      </c>
      <c r="I78" s="22" t="s">
        <v>116</v>
      </c>
      <c r="J78" s="22">
        <v>0</v>
      </c>
      <c r="K78" s="22">
        <v>0</v>
      </c>
      <c r="L78" s="25" t="str">
        <f>VLOOKUP(表1[[#This Row],[物品名称]],[1]!表1[#Data],2,FALSE)</f>
        <v>锤头鲨碎片</v>
      </c>
      <c r="M78" s="25" t="str">
        <f>VLOOKUP(表1[[#This Row],[物品描述]],[1]!表1[#Data],2,FALSE)</f>
        <v>锤头鲨碎片,可在捕鱼时掉落碎片,用来升级宠物鱼</v>
      </c>
    </row>
    <row r="79" spans="1:13" ht="17.25" x14ac:dyDescent="0.35">
      <c r="A79" s="27" t="s">
        <v>117</v>
      </c>
      <c r="B79" s="23" t="str">
        <f>"item_name_"&amp;表1[[#This Row],[key值]]</f>
        <v>item_name_i610</v>
      </c>
      <c r="C79" s="23" t="str">
        <f>"item_desc_"&amp;表1[[#This Row],[key值]]</f>
        <v>item_desc_i610</v>
      </c>
      <c r="D79" s="22">
        <v>4</v>
      </c>
      <c r="E79" s="22">
        <v>-1</v>
      </c>
      <c r="F79" s="22">
        <v>1</v>
      </c>
      <c r="G79" s="22">
        <v>0</v>
      </c>
      <c r="H79" s="22">
        <v>0</v>
      </c>
      <c r="I79" s="22" t="s">
        <v>118</v>
      </c>
      <c r="J79" s="22">
        <v>0</v>
      </c>
      <c r="K79" s="22">
        <v>0</v>
      </c>
      <c r="L79" s="25" t="str">
        <f>VLOOKUP(表1[[#This Row],[物品名称]],[1]!表1[#Data],2,FALSE)</f>
        <v>草莓鱼碎片</v>
      </c>
      <c r="M79" s="25" t="str">
        <f>VLOOKUP(表1[[#This Row],[物品描述]],[1]!表1[#Data],2,FALSE)</f>
        <v>草莓鱼碎片,可在捕鱼时掉落碎片,用来升级宠物鱼</v>
      </c>
    </row>
    <row r="80" spans="1:13" ht="17.25" x14ac:dyDescent="0.35">
      <c r="A80" s="27" t="s">
        <v>119</v>
      </c>
      <c r="B80" s="23" t="str">
        <f>"item_name_"&amp;表1[[#This Row],[key值]]</f>
        <v>item_name_i611</v>
      </c>
      <c r="C80" s="23" t="str">
        <f>"item_desc_"&amp;表1[[#This Row],[key值]]</f>
        <v>item_desc_i611</v>
      </c>
      <c r="D80" s="22">
        <v>4</v>
      </c>
      <c r="E80" s="22">
        <v>-1</v>
      </c>
      <c r="F80" s="22">
        <v>1</v>
      </c>
      <c r="G80" s="22">
        <v>0</v>
      </c>
      <c r="H80" s="22">
        <v>0</v>
      </c>
      <c r="I80" s="22" t="s">
        <v>120</v>
      </c>
      <c r="J80" s="22">
        <v>0</v>
      </c>
      <c r="K80" s="22">
        <v>0</v>
      </c>
      <c r="L80" s="25" t="str">
        <f>VLOOKUP(表1[[#This Row],[物品名称]],[1]!表1[#Data],2,FALSE)</f>
        <v>水母碎片</v>
      </c>
      <c r="M80" s="25" t="str">
        <f>VLOOKUP(表1[[#This Row],[物品描述]],[1]!表1[#Data],2,FALSE)</f>
        <v>水母碎片,可在捕鱼时掉落碎片,用来升级宠物鱼</v>
      </c>
    </row>
    <row r="81" spans="1:13" ht="17.25" x14ac:dyDescent="0.35">
      <c r="A81" s="27" t="s">
        <v>121</v>
      </c>
      <c r="B81" s="23" t="str">
        <f>"item_name_"&amp;表1[[#This Row],[key值]]</f>
        <v>item_name_i612</v>
      </c>
      <c r="C81" s="23" t="str">
        <f>"item_desc_"&amp;表1[[#This Row],[key值]]</f>
        <v>item_desc_i612</v>
      </c>
      <c r="D81" s="22">
        <v>4</v>
      </c>
      <c r="E81" s="22">
        <v>-1</v>
      </c>
      <c r="F81" s="22">
        <v>1</v>
      </c>
      <c r="G81" s="22">
        <v>0</v>
      </c>
      <c r="H81" s="22">
        <v>0</v>
      </c>
      <c r="I81" s="22" t="s">
        <v>122</v>
      </c>
      <c r="J81" s="22">
        <v>0</v>
      </c>
      <c r="K81" s="22">
        <v>0</v>
      </c>
      <c r="L81" s="25" t="str">
        <f>VLOOKUP(表1[[#This Row],[物品名称]],[1]!表1[#Data],2,FALSE)</f>
        <v>海龟碎片</v>
      </c>
      <c r="M81" s="25" t="str">
        <f>VLOOKUP(表1[[#This Row],[物品描述]],[1]!表1[#Data],2,FALSE)</f>
        <v>海龟碎片,可在捕鱼时掉落碎片,用来升级宠物鱼</v>
      </c>
    </row>
    <row r="82" spans="1:13" ht="17.25" x14ac:dyDescent="0.35">
      <c r="A82" s="27" t="s">
        <v>123</v>
      </c>
      <c r="B82" s="23" t="str">
        <f>"item_name_"&amp;表1[[#This Row],[key值]]</f>
        <v>item_name_i613</v>
      </c>
      <c r="C82" s="23" t="str">
        <f>"item_desc_"&amp;表1[[#This Row],[key值]]</f>
        <v>item_desc_i613</v>
      </c>
      <c r="D82" s="22">
        <v>4</v>
      </c>
      <c r="E82" s="22">
        <v>-1</v>
      </c>
      <c r="F82" s="22">
        <v>1</v>
      </c>
      <c r="G82" s="22">
        <v>0</v>
      </c>
      <c r="H82" s="22">
        <v>0</v>
      </c>
      <c r="I82" s="22" t="s">
        <v>124</v>
      </c>
      <c r="J82" s="22">
        <v>0</v>
      </c>
      <c r="K82" s="22">
        <v>0</v>
      </c>
      <c r="L82" s="25" t="str">
        <f>VLOOKUP(表1[[#This Row],[物品名称]],[1]!表1[#Data],2,FALSE)</f>
        <v>宝石鱼碎片</v>
      </c>
      <c r="M82" s="25" t="str">
        <f>VLOOKUP(表1[[#This Row],[物品描述]],[1]!表1[#Data],2,FALSE)</f>
        <v>宝石鱼碎片,可在捕鱼时掉落碎片,用来升级宠物鱼</v>
      </c>
    </row>
    <row r="83" spans="1:13" ht="17.25" x14ac:dyDescent="0.35">
      <c r="A83" s="27" t="s">
        <v>125</v>
      </c>
      <c r="B83" s="23" t="str">
        <f>"item_name_"&amp;表1[[#This Row],[key值]]</f>
        <v>item_name_i614</v>
      </c>
      <c r="C83" s="23" t="str">
        <f>"item_desc_"&amp;表1[[#This Row],[key值]]</f>
        <v>item_desc_i614</v>
      </c>
      <c r="D83" s="22">
        <v>4</v>
      </c>
      <c r="E83" s="22">
        <v>-1</v>
      </c>
      <c r="F83" s="22">
        <v>1</v>
      </c>
      <c r="G83" s="22">
        <v>0</v>
      </c>
      <c r="H83" s="22">
        <v>0</v>
      </c>
      <c r="I83" s="22" t="s">
        <v>126</v>
      </c>
      <c r="J83" s="22">
        <v>0</v>
      </c>
      <c r="K83" s="22">
        <v>0</v>
      </c>
      <c r="L83" s="25" t="str">
        <f>VLOOKUP(表1[[#This Row],[物品名称]],[1]!表1[#Data],2,FALSE)</f>
        <v>短喙鼻鱼碎片</v>
      </c>
      <c r="M83" s="25" t="str">
        <f>VLOOKUP(表1[[#This Row],[物品描述]],[1]!表1[#Data],2,FALSE)</f>
        <v>短喙鼻鱼碎片,可在捕鱼时掉落碎片,用来升级宠物鱼</v>
      </c>
    </row>
    <row r="84" spans="1:13" ht="17.25" x14ac:dyDescent="0.35">
      <c r="A84" s="27" t="s">
        <v>127</v>
      </c>
      <c r="B84" s="23" t="str">
        <f>"item_name_"&amp;表1[[#This Row],[key值]]</f>
        <v>item_name_i615</v>
      </c>
      <c r="C84" s="23" t="str">
        <f>"item_desc_"&amp;表1[[#This Row],[key值]]</f>
        <v>item_desc_i615</v>
      </c>
      <c r="D84" s="22">
        <v>4</v>
      </c>
      <c r="E84" s="22">
        <v>-1</v>
      </c>
      <c r="F84" s="22">
        <v>1</v>
      </c>
      <c r="G84" s="22">
        <v>0</v>
      </c>
      <c r="H84" s="22">
        <v>0</v>
      </c>
      <c r="I84" s="22" t="s">
        <v>128</v>
      </c>
      <c r="J84" s="22">
        <v>0</v>
      </c>
      <c r="K84" s="22">
        <v>0</v>
      </c>
      <c r="L84" s="25" t="str">
        <f>VLOOKUP(表1[[#This Row],[物品名称]],[1]!表1[#Data],2,FALSE)</f>
        <v>豹鲂鮄碎片</v>
      </c>
      <c r="M84" s="25" t="str">
        <f>VLOOKUP(表1[[#This Row],[物品描述]],[1]!表1[#Data],2,FALSE)</f>
        <v>豹鲂鮄碎片,可在捕鱼时掉落碎片,用来升级宠物鱼</v>
      </c>
    </row>
    <row r="85" spans="1:13" ht="17.25" x14ac:dyDescent="0.35">
      <c r="A85" s="27" t="s">
        <v>129</v>
      </c>
      <c r="B85" s="23" t="str">
        <f>"item_name_"&amp;表1[[#This Row],[key值]]</f>
        <v>item_name_i616</v>
      </c>
      <c r="C85" s="23" t="str">
        <f>"item_desc_"&amp;表1[[#This Row],[key值]]</f>
        <v>item_desc_i616</v>
      </c>
      <c r="D85" s="22">
        <v>4</v>
      </c>
      <c r="E85" s="22">
        <v>-1</v>
      </c>
      <c r="F85" s="22">
        <v>1</v>
      </c>
      <c r="G85" s="22">
        <v>0</v>
      </c>
      <c r="H85" s="22">
        <v>0</v>
      </c>
      <c r="I85" s="22" t="s">
        <v>130</v>
      </c>
      <c r="J85" s="22">
        <v>0</v>
      </c>
      <c r="K85" s="22">
        <v>0</v>
      </c>
      <c r="L85" s="25" t="str">
        <f>VLOOKUP(表1[[#This Row],[物品名称]],[1]!表1[#Data],2,FALSE)</f>
        <v>金枪鱼碎片</v>
      </c>
      <c r="M85" s="25" t="str">
        <f>VLOOKUP(表1[[#This Row],[物品描述]],[1]!表1[#Data],2,FALSE)</f>
        <v>金枪鱼碎片,可在捕鱼时掉落碎片,用来升级宠物鱼</v>
      </c>
    </row>
    <row r="86" spans="1:13" ht="17.25" x14ac:dyDescent="0.35">
      <c r="A86" s="27" t="s">
        <v>131</v>
      </c>
      <c r="B86" s="23" t="str">
        <f>"item_name_"&amp;表1[[#This Row],[key值]]</f>
        <v>item_name_i617</v>
      </c>
      <c r="C86" s="23" t="str">
        <f>"item_desc_"&amp;表1[[#This Row],[key值]]</f>
        <v>item_desc_i617</v>
      </c>
      <c r="D86" s="22">
        <v>4</v>
      </c>
      <c r="E86" s="22">
        <v>-1</v>
      </c>
      <c r="F86" s="22">
        <v>1</v>
      </c>
      <c r="G86" s="22">
        <v>0</v>
      </c>
      <c r="H86" s="22">
        <v>0</v>
      </c>
      <c r="I86" s="22" t="s">
        <v>132</v>
      </c>
      <c r="J86" s="22">
        <v>0</v>
      </c>
      <c r="K86" s="22">
        <v>0</v>
      </c>
      <c r="L86" s="25" t="str">
        <f>VLOOKUP(表1[[#This Row],[物品名称]],[1]!表1[#Data],2,FALSE)</f>
        <v>银龙鱼碎片</v>
      </c>
      <c r="M86" s="25" t="str">
        <f>VLOOKUP(表1[[#This Row],[物品描述]],[1]!表1[#Data],2,FALSE)</f>
        <v>银龙鱼碎片,可在捕鱼时掉落碎片,用来升级宠物鱼</v>
      </c>
    </row>
    <row r="87" spans="1:13" ht="17.25" x14ac:dyDescent="0.35">
      <c r="A87" s="27" t="s">
        <v>133</v>
      </c>
      <c r="B87" s="23" t="str">
        <f>"item_name_"&amp;表1[[#This Row],[key值]]</f>
        <v>item_name_i618</v>
      </c>
      <c r="C87" s="23" t="str">
        <f>"item_desc_"&amp;表1[[#This Row],[key值]]</f>
        <v>item_desc_i618</v>
      </c>
      <c r="D87" s="22">
        <v>4</v>
      </c>
      <c r="E87" s="22">
        <v>-1</v>
      </c>
      <c r="F87" s="22">
        <v>1</v>
      </c>
      <c r="G87" s="22">
        <v>0</v>
      </c>
      <c r="H87" s="22">
        <v>0</v>
      </c>
      <c r="I87" s="22" t="s">
        <v>134</v>
      </c>
      <c r="J87" s="22">
        <v>0</v>
      </c>
      <c r="K87" s="22">
        <v>0</v>
      </c>
      <c r="L87" s="25" t="str">
        <f>VLOOKUP(表1[[#This Row],[物品名称]],[1]!表1[#Data],2,FALSE)</f>
        <v>海豚碎片</v>
      </c>
      <c r="M87" s="25" t="str">
        <f>VLOOKUP(表1[[#This Row],[物品描述]],[1]!表1[#Data],2,FALSE)</f>
        <v>海豚碎片,可在捕鱼时掉落碎片,用来升级宠物鱼</v>
      </c>
    </row>
    <row r="88" spans="1:13" ht="17.25" x14ac:dyDescent="0.35">
      <c r="A88" s="27" t="s">
        <v>135</v>
      </c>
      <c r="B88" s="23" t="str">
        <f>"item_name_"&amp;表1[[#This Row],[key值]]</f>
        <v>item_name_i620</v>
      </c>
      <c r="C88" s="23" t="str">
        <f>"item_desc_"&amp;表1[[#This Row],[key值]]</f>
        <v>item_desc_i620</v>
      </c>
      <c r="D88" s="22">
        <v>4</v>
      </c>
      <c r="E88" s="22">
        <v>-1</v>
      </c>
      <c r="F88" s="22">
        <v>1</v>
      </c>
      <c r="G88" s="22">
        <v>0</v>
      </c>
      <c r="H88" s="22">
        <v>0</v>
      </c>
      <c r="I88" s="22" t="s">
        <v>136</v>
      </c>
      <c r="J88" s="22">
        <v>0</v>
      </c>
      <c r="K88" s="22">
        <v>0</v>
      </c>
      <c r="L88" s="25" t="str">
        <f>VLOOKUP(表1[[#This Row],[物品名称]],[1]!表1[#Data],2,FALSE)</f>
        <v>奖金海龟碎片</v>
      </c>
      <c r="M88" s="25" t="str">
        <f>VLOOKUP(表1[[#This Row],[物品描述]],[1]!表1[#Data],2,FALSE)</f>
        <v>奖金海龟碎片,可在捕鱼时掉落碎片,用来升级宠物鱼</v>
      </c>
    </row>
    <row r="89" spans="1:13" ht="17.25" x14ac:dyDescent="0.35">
      <c r="A89" s="27" t="s">
        <v>137</v>
      </c>
      <c r="B89" s="23" t="str">
        <f>"item_name_"&amp;表1[[#This Row],[key值]]</f>
        <v>item_name_i621</v>
      </c>
      <c r="C89" s="23" t="str">
        <f>"item_desc_"&amp;表1[[#This Row],[key值]]</f>
        <v>item_desc_i621</v>
      </c>
      <c r="D89" s="22">
        <v>4</v>
      </c>
      <c r="E89" s="22">
        <v>-1</v>
      </c>
      <c r="F89" s="22">
        <v>1</v>
      </c>
      <c r="G89" s="22">
        <v>0</v>
      </c>
      <c r="H89" s="22">
        <v>0</v>
      </c>
      <c r="I89" s="22" t="s">
        <v>138</v>
      </c>
      <c r="J89" s="22">
        <v>0</v>
      </c>
      <c r="K89" s="22">
        <v>0</v>
      </c>
      <c r="L89" s="25" t="str">
        <f>VLOOKUP(表1[[#This Row],[物品名称]],[1]!表1[#Data],2,FALSE)</f>
        <v>灯笼鱼碎片</v>
      </c>
      <c r="M89" s="25" t="str">
        <f>VLOOKUP(表1[[#This Row],[物品描述]],[1]!表1[#Data],2,FALSE)</f>
        <v>灯笼鱼碎片,可在捕鱼时掉落碎片,用来升级宠物鱼</v>
      </c>
    </row>
    <row r="90" spans="1:13" ht="17.25" x14ac:dyDescent="0.35">
      <c r="A90" s="27" t="s">
        <v>139</v>
      </c>
      <c r="B90" s="23" t="str">
        <f>"item_name_"&amp;表1[[#This Row],[key值]]</f>
        <v>item_name_i622</v>
      </c>
      <c r="C90" s="23" t="str">
        <f>"item_desc_"&amp;表1[[#This Row],[key值]]</f>
        <v>item_desc_i622</v>
      </c>
      <c r="D90" s="22">
        <v>4</v>
      </c>
      <c r="E90" s="22">
        <v>-1</v>
      </c>
      <c r="F90" s="22">
        <v>1</v>
      </c>
      <c r="G90" s="22">
        <v>0</v>
      </c>
      <c r="H90" s="22">
        <v>0</v>
      </c>
      <c r="I90" s="22" t="s">
        <v>140</v>
      </c>
      <c r="J90" s="22">
        <v>0</v>
      </c>
      <c r="K90" s="22">
        <v>0</v>
      </c>
      <c r="L90" s="25" t="str">
        <f>VLOOKUP(表1[[#This Row],[物品名称]],[1]!表1[#Data],2,FALSE)</f>
        <v>美人鱼碎片</v>
      </c>
      <c r="M90" s="25" t="str">
        <f>VLOOKUP(表1[[#This Row],[物品描述]],[1]!表1[#Data],2,FALSE)</f>
        <v>美人鱼碎片,可在捕鱼时掉落碎片,用来升级宠物鱼</v>
      </c>
    </row>
    <row r="91" spans="1:13" ht="17.25" x14ac:dyDescent="0.35">
      <c r="A91" s="27" t="s">
        <v>141</v>
      </c>
      <c r="B91" s="23" t="str">
        <f>"item_name_"&amp;表1[[#This Row],[key值]]</f>
        <v>item_name_i623</v>
      </c>
      <c r="C91" s="23" t="str">
        <f>"item_desc_"&amp;表1[[#This Row],[key值]]</f>
        <v>item_desc_i623</v>
      </c>
      <c r="D91" s="22">
        <v>4</v>
      </c>
      <c r="E91" s="22">
        <v>-1</v>
      </c>
      <c r="F91" s="22">
        <v>1</v>
      </c>
      <c r="G91" s="22">
        <v>0</v>
      </c>
      <c r="H91" s="22">
        <v>0</v>
      </c>
      <c r="I91" s="22" t="s">
        <v>142</v>
      </c>
      <c r="J91" s="22">
        <v>0</v>
      </c>
      <c r="K91" s="22">
        <v>0</v>
      </c>
      <c r="L91" s="25" t="str">
        <f>VLOOKUP(表1[[#This Row],[物品名称]],[1]!表1[#Data],2,FALSE)</f>
        <v>帝鲶鱼碎片</v>
      </c>
      <c r="M91" s="25" t="str">
        <f>VLOOKUP(表1[[#This Row],[物品描述]],[1]!表1[#Data],2,FALSE)</f>
        <v>帝鲶鱼碎片,可在捕鱼时掉落碎片,用来升级宠物鱼</v>
      </c>
    </row>
    <row r="92" spans="1:13" ht="17.25" x14ac:dyDescent="0.35">
      <c r="A92" s="27" t="s">
        <v>143</v>
      </c>
      <c r="B92" s="23" t="str">
        <f>"item_name_"&amp;表1[[#This Row],[key值]]</f>
        <v>item_name_i624</v>
      </c>
      <c r="C92" s="23" t="str">
        <f>"item_desc_"&amp;表1[[#This Row],[key值]]</f>
        <v>item_desc_i624</v>
      </c>
      <c r="D92" s="22">
        <v>4</v>
      </c>
      <c r="E92" s="22">
        <v>-1</v>
      </c>
      <c r="F92" s="22">
        <v>1</v>
      </c>
      <c r="G92" s="22">
        <v>0</v>
      </c>
      <c r="H92" s="22">
        <v>0</v>
      </c>
      <c r="I92" s="22" t="s">
        <v>144</v>
      </c>
      <c r="J92" s="22">
        <v>0</v>
      </c>
      <c r="K92" s="22">
        <v>0</v>
      </c>
      <c r="L92" s="25" t="str">
        <f>VLOOKUP(表1[[#This Row],[物品名称]],[1]!表1[#Data],2,FALSE)</f>
        <v>枇杷鼠鱼碎片</v>
      </c>
      <c r="M92" s="25" t="str">
        <f>VLOOKUP(表1[[#This Row],[物品描述]],[1]!表1[#Data],2,FALSE)</f>
        <v>枇杷鼠鱼碎片,可在捕鱼时掉落碎片,用来升级宠物鱼</v>
      </c>
    </row>
    <row r="93" spans="1:13" ht="17.25" x14ac:dyDescent="0.35">
      <c r="A93" s="27" t="s">
        <v>145</v>
      </c>
      <c r="B93" s="23" t="str">
        <f>"item_name_"&amp;表1[[#This Row],[key值]]</f>
        <v>item_name_i626</v>
      </c>
      <c r="C93" s="23" t="str">
        <f>"item_desc_"&amp;表1[[#This Row],[key值]]</f>
        <v>item_desc_i626</v>
      </c>
      <c r="D93" s="22">
        <v>4</v>
      </c>
      <c r="E93" s="22">
        <v>-1</v>
      </c>
      <c r="F93" s="22">
        <v>1</v>
      </c>
      <c r="G93" s="22">
        <v>0</v>
      </c>
      <c r="H93" s="22">
        <v>0</v>
      </c>
      <c r="I93" s="22" t="s">
        <v>146</v>
      </c>
      <c r="J93" s="22">
        <v>0</v>
      </c>
      <c r="K93" s="22">
        <v>0</v>
      </c>
      <c r="L93" s="25" t="str">
        <f>VLOOKUP(表1[[#This Row],[物品名称]],[1]!表1[#Data],2,FALSE)</f>
        <v>蓝茉莉鱼碎片</v>
      </c>
      <c r="M93" s="25" t="str">
        <f>VLOOKUP(表1[[#This Row],[物品描述]],[1]!表1[#Data],2,FALSE)</f>
        <v>蓝茉莉鱼碎片,可在捕鱼时掉落碎片,用来升级宠物鱼</v>
      </c>
    </row>
    <row r="94" spans="1:13" ht="17.25" x14ac:dyDescent="0.35">
      <c r="A94" s="27" t="s">
        <v>147</v>
      </c>
      <c r="B94" s="23" t="str">
        <f>"item_name_"&amp;表1[[#This Row],[key值]]</f>
        <v>item_name_i632</v>
      </c>
      <c r="C94" s="23" t="str">
        <f>"item_desc_"&amp;表1[[#This Row],[key值]]</f>
        <v>item_desc_i632</v>
      </c>
      <c r="D94" s="22">
        <v>4</v>
      </c>
      <c r="E94" s="22">
        <v>-1</v>
      </c>
      <c r="F94" s="22">
        <v>1</v>
      </c>
      <c r="G94" s="22">
        <v>0</v>
      </c>
      <c r="H94" s="22">
        <v>0</v>
      </c>
      <c r="I94" s="22" t="s">
        <v>148</v>
      </c>
      <c r="J94" s="22">
        <v>0</v>
      </c>
      <c r="K94" s="22">
        <v>0</v>
      </c>
      <c r="L94" s="25" t="str">
        <f>VLOOKUP(表1[[#This Row],[物品名称]],[1]!表1[#Data],2,FALSE)</f>
        <v>斗鱼碎片</v>
      </c>
      <c r="M94" s="25" t="str">
        <f>VLOOKUP(表1[[#This Row],[物品描述]],[1]!表1[#Data],2,FALSE)</f>
        <v>斗鱼碎片,可在捕鱼时掉落碎片,用来升级宠物鱼</v>
      </c>
    </row>
    <row r="95" spans="1:13" ht="17.25" x14ac:dyDescent="0.35">
      <c r="A95" s="27" t="s">
        <v>149</v>
      </c>
      <c r="B95" s="23" t="str">
        <f>"item_name_"&amp;表1[[#This Row],[key值]]</f>
        <v>item_name_i639</v>
      </c>
      <c r="C95" s="23" t="str">
        <f>"item_desc_"&amp;表1[[#This Row],[key值]]</f>
        <v>item_desc_i639</v>
      </c>
      <c r="D95" s="22">
        <v>4</v>
      </c>
      <c r="E95" s="22">
        <v>-1</v>
      </c>
      <c r="F95" s="22">
        <v>1</v>
      </c>
      <c r="G95" s="22">
        <v>0</v>
      </c>
      <c r="H95" s="22">
        <v>0</v>
      </c>
      <c r="I95" s="22" t="s">
        <v>150</v>
      </c>
      <c r="J95" s="22">
        <v>0</v>
      </c>
      <c r="K95" s="22">
        <v>0</v>
      </c>
      <c r="L95" s="25" t="str">
        <f>VLOOKUP(表1[[#This Row],[物品名称]],[1]!表1[#Data],2,FALSE)</f>
        <v>剑鱼碎片</v>
      </c>
      <c r="M95" s="25" t="str">
        <f>VLOOKUP(表1[[#This Row],[物品描述]],[1]!表1[#Data],2,FALSE)</f>
        <v>剑鱼碎片,可在捕鱼时掉落碎片,用来升级宠物鱼</v>
      </c>
    </row>
    <row r="96" spans="1:13" ht="17.25" x14ac:dyDescent="0.35">
      <c r="A96" s="27" t="s">
        <v>151</v>
      </c>
      <c r="B96" s="23" t="str">
        <f>"item_name_"&amp;表1[[#This Row],[key值]]</f>
        <v>item_name_i649</v>
      </c>
      <c r="C96" s="23" t="str">
        <f>"item_desc_"&amp;表1[[#This Row],[key值]]</f>
        <v>item_desc_i649</v>
      </c>
      <c r="D96" s="22">
        <v>4</v>
      </c>
      <c r="E96" s="22">
        <v>-1</v>
      </c>
      <c r="F96" s="22">
        <v>1</v>
      </c>
      <c r="G96" s="22">
        <v>0</v>
      </c>
      <c r="H96" s="22">
        <v>0</v>
      </c>
      <c r="I96" s="22" t="s">
        <v>152</v>
      </c>
      <c r="J96" s="22">
        <v>0</v>
      </c>
      <c r="K96" s="22">
        <v>0</v>
      </c>
      <c r="L96" s="25" t="str">
        <f>VLOOKUP(表1[[#This Row],[物品名称]],[1]!表1[#Data],2,FALSE)</f>
        <v>章鱼碎片</v>
      </c>
      <c r="M96" s="25" t="str">
        <f>VLOOKUP(表1[[#This Row],[物品描述]],[1]!表1[#Data],2,FALSE)</f>
        <v>章鱼碎片,可在捕鱼时掉落碎片,用来升级宠物鱼</v>
      </c>
    </row>
    <row r="97" spans="1:13" ht="17.25" x14ac:dyDescent="0.35">
      <c r="A97" s="27" t="s">
        <v>153</v>
      </c>
      <c r="B97" s="23" t="str">
        <f>"item_name_"&amp;表1[[#This Row],[key值]]</f>
        <v>item_name_i651</v>
      </c>
      <c r="C97" s="23" t="str">
        <f>"item_desc_"&amp;表1[[#This Row],[key值]]</f>
        <v>item_desc_i651</v>
      </c>
      <c r="D97" s="22">
        <v>4</v>
      </c>
      <c r="E97" s="22">
        <v>-1</v>
      </c>
      <c r="F97" s="22">
        <v>1</v>
      </c>
      <c r="G97" s="22">
        <v>0</v>
      </c>
      <c r="H97" s="22">
        <v>0</v>
      </c>
      <c r="I97" s="22" t="s">
        <v>154</v>
      </c>
      <c r="J97" s="22">
        <v>0</v>
      </c>
      <c r="K97" s="22">
        <v>0</v>
      </c>
      <c r="L97" s="25" t="str">
        <f>VLOOKUP(表1[[#This Row],[物品名称]],[1]!表1[#Data],2,FALSE)</f>
        <v>龙龟碎片</v>
      </c>
      <c r="M97" s="25" t="str">
        <f>VLOOKUP(表1[[#This Row],[物品描述]],[1]!表1[#Data],2,FALSE)</f>
        <v>龙龟碎片,可在捕鱼时掉落碎片,用来升级宠物鱼</v>
      </c>
    </row>
    <row r="98" spans="1:13" ht="17.25" x14ac:dyDescent="0.35">
      <c r="A98" s="27" t="s">
        <v>155</v>
      </c>
      <c r="B98" s="23" t="str">
        <f>"item_name_"&amp;表1[[#This Row],[key值]]</f>
        <v>item_name_i657</v>
      </c>
      <c r="C98" s="23" t="str">
        <f>"item_desc_"&amp;表1[[#This Row],[key值]]</f>
        <v>item_desc_i657</v>
      </c>
      <c r="D98" s="22">
        <v>4</v>
      </c>
      <c r="E98" s="22">
        <v>-1</v>
      </c>
      <c r="F98" s="22">
        <v>1</v>
      </c>
      <c r="G98" s="22">
        <v>0</v>
      </c>
      <c r="H98" s="22">
        <v>0</v>
      </c>
      <c r="I98" s="22" t="s">
        <v>156</v>
      </c>
      <c r="J98" s="22">
        <v>0</v>
      </c>
      <c r="K98" s="22">
        <v>0</v>
      </c>
      <c r="L98" s="25" t="str">
        <f>VLOOKUP(表1[[#This Row],[物品名称]],[1]!表1[#Data],2,FALSE)</f>
        <v>海马碎片</v>
      </c>
      <c r="M98" s="25" t="str">
        <f>VLOOKUP(表1[[#This Row],[物品描述]],[1]!表1[#Data],2,FALSE)</f>
        <v>海马碎片,可在捕鱼时掉落碎片,用来升级宠物鱼</v>
      </c>
    </row>
    <row r="99" spans="1:13" ht="17.25" x14ac:dyDescent="0.35">
      <c r="A99" s="22" t="s">
        <v>157</v>
      </c>
      <c r="B99" s="23" t="str">
        <f>"item_name_"&amp;表1[[#This Row],[key值]]</f>
        <v>item_name_i700</v>
      </c>
      <c r="C99" s="23" t="str">
        <f>"item_desc_"&amp;表1[[#This Row],[key值]]</f>
        <v>item_desc_i700</v>
      </c>
      <c r="D99" s="22">
        <v>4</v>
      </c>
      <c r="E99" s="22">
        <v>-1</v>
      </c>
      <c r="F99" s="22">
        <v>5</v>
      </c>
      <c r="G99" s="22">
        <v>0</v>
      </c>
      <c r="H99" s="22">
        <v>0</v>
      </c>
      <c r="I99" s="22" t="s">
        <v>158</v>
      </c>
      <c r="J99" s="22">
        <v>0</v>
      </c>
      <c r="K99" s="22">
        <v>0</v>
      </c>
      <c r="L99" s="25" t="str">
        <f>VLOOKUP(表1[[#This Row],[物品名称]],[1]!表1[#Data],2,FALSE)</f>
        <v>光明女神魂石</v>
      </c>
      <c r="M99" s="25" t="str">
        <f>VLOOKUP(表1[[#This Row],[物品描述]],[1]!表1[#Data],2,FALSE)</f>
        <v>光明女神升级时使用</v>
      </c>
    </row>
    <row r="100" spans="1:13" ht="17.25" x14ac:dyDescent="0.35">
      <c r="A100" s="22" t="s">
        <v>159</v>
      </c>
      <c r="B100" s="23" t="str">
        <f>"item_name_"&amp;表1[[#This Row],[key值]]</f>
        <v>item_name_i701</v>
      </c>
      <c r="C100" s="23" t="str">
        <f>"item_desc_"&amp;表1[[#This Row],[key值]]</f>
        <v>item_desc_i701</v>
      </c>
      <c r="D100" s="22">
        <v>4</v>
      </c>
      <c r="E100" s="22">
        <v>-1</v>
      </c>
      <c r="F100" s="22">
        <v>5</v>
      </c>
      <c r="G100" s="22">
        <v>0</v>
      </c>
      <c r="H100" s="22">
        <v>0</v>
      </c>
      <c r="I100" s="22" t="s">
        <v>160</v>
      </c>
      <c r="J100" s="22">
        <v>0</v>
      </c>
      <c r="K100" s="22">
        <v>0</v>
      </c>
      <c r="L100" s="25" t="str">
        <f>VLOOKUP(表1[[#This Row],[物品名称]],[1]!表1[#Data],2,FALSE)</f>
        <v>黑暗女神魂石</v>
      </c>
      <c r="M100" s="25" t="str">
        <f>VLOOKUP(表1[[#This Row],[物品描述]],[1]!表1[#Data],2,FALSE)</f>
        <v>黑暗女神升级时使用</v>
      </c>
    </row>
    <row r="101" spans="1:13" ht="17.25" x14ac:dyDescent="0.35">
      <c r="A101" s="22" t="s">
        <v>161</v>
      </c>
      <c r="B101" s="23" t="str">
        <f>"item_name_"&amp;表1[[#This Row],[key值]]</f>
        <v>item_name_i702</v>
      </c>
      <c r="C101" s="23" t="str">
        <f>"item_desc_"&amp;表1[[#This Row],[key值]]</f>
        <v>item_desc_i702</v>
      </c>
      <c r="D101" s="22">
        <v>4</v>
      </c>
      <c r="E101" s="22">
        <v>-1</v>
      </c>
      <c r="F101" s="22">
        <v>5</v>
      </c>
      <c r="G101" s="22">
        <v>0</v>
      </c>
      <c r="H101" s="22">
        <v>0</v>
      </c>
      <c r="I101" s="22" t="s">
        <v>162</v>
      </c>
      <c r="J101" s="22">
        <v>0</v>
      </c>
      <c r="K101" s="22">
        <v>0</v>
      </c>
      <c r="L101" s="25" t="str">
        <f>VLOOKUP(表1[[#This Row],[物品名称]],[1]!表1[#Data],2,FALSE)</f>
        <v>烈焰女神魂石</v>
      </c>
      <c r="M101" s="25" t="str">
        <f>VLOOKUP(表1[[#This Row],[物品描述]],[1]!表1[#Data],2,FALSE)</f>
        <v>烈焰女神升级时使用</v>
      </c>
    </row>
    <row r="102" spans="1:13" ht="17.25" x14ac:dyDescent="0.35">
      <c r="A102" s="22" t="s">
        <v>163</v>
      </c>
      <c r="B102" s="23" t="str">
        <f>"item_name_"&amp;表1[[#This Row],[key值]]</f>
        <v>item_name_i703</v>
      </c>
      <c r="C102" s="23" t="str">
        <f>"item_desc_"&amp;表1[[#This Row],[key值]]</f>
        <v>item_desc_i703</v>
      </c>
      <c r="D102" s="22">
        <v>4</v>
      </c>
      <c r="E102" s="22">
        <v>-1</v>
      </c>
      <c r="F102" s="22">
        <v>5</v>
      </c>
      <c r="G102" s="22">
        <v>0</v>
      </c>
      <c r="H102" s="22">
        <v>0</v>
      </c>
      <c r="I102" s="22" t="s">
        <v>312</v>
      </c>
      <c r="J102" s="22">
        <v>0</v>
      </c>
      <c r="K102" s="22">
        <v>0</v>
      </c>
      <c r="L102" s="25" t="str">
        <f>VLOOKUP(表1[[#This Row],[物品名称]],[1]!表1[#Data],2,FALSE)</f>
        <v>嫦娥女神魂石</v>
      </c>
      <c r="M102" s="25" t="str">
        <f>VLOOKUP(表1[[#This Row],[物品描述]],[1]!表1[#Data],2,FALSE)</f>
        <v>嫦娥女神升级时使用</v>
      </c>
    </row>
    <row r="103" spans="1:13" ht="17.25" x14ac:dyDescent="0.35">
      <c r="A103" s="22" t="s">
        <v>164</v>
      </c>
      <c r="B103" s="23" t="str">
        <f>"item_name_"&amp;表1[[#This Row],[key值]]</f>
        <v>item_name_i704</v>
      </c>
      <c r="C103" s="23" t="str">
        <f>"item_desc_"&amp;表1[[#This Row],[key值]]</f>
        <v>item_desc_i704</v>
      </c>
      <c r="D103" s="22">
        <v>4</v>
      </c>
      <c r="E103" s="22">
        <v>-1</v>
      </c>
      <c r="F103" s="22">
        <v>5</v>
      </c>
      <c r="G103" s="22">
        <v>0</v>
      </c>
      <c r="H103" s="22">
        <v>0</v>
      </c>
      <c r="I103" s="22" t="s">
        <v>162</v>
      </c>
      <c r="J103" s="22">
        <v>0</v>
      </c>
      <c r="K103" s="22">
        <v>0</v>
      </c>
      <c r="L103" s="25" t="str">
        <f>VLOOKUP(表1[[#This Row],[物品名称]],[1]!表1[#Data],2,FALSE)</f>
        <v>光明女神碎片四</v>
      </c>
      <c r="M103" s="25" t="str">
        <f>VLOOKUP(表1[[#This Row],[物品描述]],[1]!表1[#Data],2,FALSE)</f>
        <v>此道具已废弃，可直接出售兑换1000金币</v>
      </c>
    </row>
    <row r="104" spans="1:13" ht="17.25" x14ac:dyDescent="0.35">
      <c r="A104" s="22" t="s">
        <v>165</v>
      </c>
      <c r="B104" s="23" t="str">
        <f>"item_name_"&amp;表1[[#This Row],[key值]]</f>
        <v>item_name_i705</v>
      </c>
      <c r="C104" s="23" t="str">
        <f>"item_desc_"&amp;表1[[#This Row],[key值]]</f>
        <v>item_desc_i705</v>
      </c>
      <c r="D104" s="22">
        <v>4</v>
      </c>
      <c r="E104" s="22">
        <v>-1</v>
      </c>
      <c r="F104" s="22">
        <v>5</v>
      </c>
      <c r="G104" s="22">
        <v>0</v>
      </c>
      <c r="H104" s="22">
        <v>0</v>
      </c>
      <c r="I104" s="22" t="s">
        <v>162</v>
      </c>
      <c r="J104" s="22">
        <v>0</v>
      </c>
      <c r="K104" s="22">
        <v>0</v>
      </c>
      <c r="L104" s="25" t="str">
        <f>VLOOKUP(表1[[#This Row],[物品名称]],[1]!表1[#Data],2,FALSE)</f>
        <v>光明女神碎片五</v>
      </c>
      <c r="M104" s="25" t="str">
        <f>VLOOKUP(表1[[#This Row],[物品描述]],[1]!表1[#Data],2,FALSE)</f>
        <v>此道具已废弃，可直接出售兑换1000金币</v>
      </c>
    </row>
    <row r="105" spans="1:13" ht="17.25" x14ac:dyDescent="0.35">
      <c r="A105" s="22" t="s">
        <v>166</v>
      </c>
      <c r="B105" s="23" t="str">
        <f>"item_name_"&amp;表1[[#This Row],[key值]]</f>
        <v>item_name_i706</v>
      </c>
      <c r="C105" s="23" t="str">
        <f>"item_desc_"&amp;表1[[#This Row],[key值]]</f>
        <v>item_desc_i706</v>
      </c>
      <c r="D105" s="22">
        <v>4</v>
      </c>
      <c r="E105" s="22">
        <v>-1</v>
      </c>
      <c r="F105" s="22">
        <v>5</v>
      </c>
      <c r="G105" s="22">
        <v>0</v>
      </c>
      <c r="H105" s="22">
        <v>0</v>
      </c>
      <c r="I105" s="22" t="s">
        <v>162</v>
      </c>
      <c r="J105" s="22">
        <v>0</v>
      </c>
      <c r="K105" s="22">
        <v>0</v>
      </c>
      <c r="L105" s="25" t="str">
        <f>VLOOKUP(表1[[#This Row],[物品名称]],[1]!表1[#Data],2,FALSE)</f>
        <v>光明女神碎片六</v>
      </c>
      <c r="M105" s="25" t="str">
        <f>VLOOKUP(表1[[#This Row],[物品描述]],[1]!表1[#Data],2,FALSE)</f>
        <v>此道具已废弃，可直接出售兑换1000金币</v>
      </c>
    </row>
    <row r="106" spans="1:13" ht="17.25" x14ac:dyDescent="0.35">
      <c r="A106" s="22" t="s">
        <v>167</v>
      </c>
      <c r="B106" s="23" t="str">
        <f>"item_name_"&amp;表1[[#This Row],[key值]]</f>
        <v>item_name_i707</v>
      </c>
      <c r="C106" s="23" t="str">
        <f>"item_desc_"&amp;表1[[#This Row],[key值]]</f>
        <v>item_desc_i707</v>
      </c>
      <c r="D106" s="22">
        <v>4</v>
      </c>
      <c r="E106" s="22">
        <v>-1</v>
      </c>
      <c r="F106" s="22">
        <v>5</v>
      </c>
      <c r="G106" s="22">
        <v>0</v>
      </c>
      <c r="H106" s="22">
        <v>0</v>
      </c>
      <c r="I106" s="22" t="s">
        <v>162</v>
      </c>
      <c r="J106" s="22">
        <v>0</v>
      </c>
      <c r="K106" s="22">
        <v>0</v>
      </c>
      <c r="L106" s="25" t="str">
        <f>VLOOKUP(表1[[#This Row],[物品名称]],[1]!表1[#Data],2,FALSE)</f>
        <v>光明女神碎片七</v>
      </c>
      <c r="M106" s="25" t="str">
        <f>VLOOKUP(表1[[#This Row],[物品描述]],[1]!表1[#Data],2,FALSE)</f>
        <v>此道具已废弃，可直接出售兑换1000金币</v>
      </c>
    </row>
    <row r="107" spans="1:13" ht="17.25" x14ac:dyDescent="0.35">
      <c r="A107" s="22" t="s">
        <v>168</v>
      </c>
      <c r="B107" s="23" t="str">
        <f>"item_name_"&amp;表1[[#This Row],[key值]]</f>
        <v>item_name_i708</v>
      </c>
      <c r="C107" s="23" t="str">
        <f>"item_desc_"&amp;表1[[#This Row],[key值]]</f>
        <v>item_desc_i708</v>
      </c>
      <c r="D107" s="22">
        <v>4</v>
      </c>
      <c r="E107" s="22">
        <v>-1</v>
      </c>
      <c r="F107" s="22">
        <v>5</v>
      </c>
      <c r="G107" s="22">
        <v>0</v>
      </c>
      <c r="H107" s="22">
        <v>0</v>
      </c>
      <c r="I107" s="22" t="s">
        <v>162</v>
      </c>
      <c r="J107" s="22">
        <v>0</v>
      </c>
      <c r="K107" s="22">
        <v>0</v>
      </c>
      <c r="L107" s="25" t="str">
        <f>VLOOKUP(表1[[#This Row],[物品名称]],[1]!表1[#Data],2,FALSE)</f>
        <v>光明女神碎片八</v>
      </c>
      <c r="M107" s="25" t="str">
        <f>VLOOKUP(表1[[#This Row],[物品描述]],[1]!表1[#Data],2,FALSE)</f>
        <v>此道具已废弃，可直接出售兑换1000金币</v>
      </c>
    </row>
    <row r="108" spans="1:13" ht="17.25" x14ac:dyDescent="0.35">
      <c r="A108" s="22" t="s">
        <v>169</v>
      </c>
      <c r="B108" s="23" t="str">
        <f>"item_name_"&amp;表1[[#This Row],[key值]]</f>
        <v>item_name_i709</v>
      </c>
      <c r="C108" s="23" t="str">
        <f>"item_desc_"&amp;表1[[#This Row],[key值]]</f>
        <v>item_desc_i709</v>
      </c>
      <c r="D108" s="22">
        <v>4</v>
      </c>
      <c r="E108" s="22">
        <v>-1</v>
      </c>
      <c r="F108" s="22">
        <v>5</v>
      </c>
      <c r="G108" s="22">
        <v>0</v>
      </c>
      <c r="H108" s="22">
        <v>0</v>
      </c>
      <c r="I108" s="22" t="s">
        <v>162</v>
      </c>
      <c r="J108" s="22">
        <v>0</v>
      </c>
      <c r="K108" s="22">
        <v>0</v>
      </c>
      <c r="L108" s="25" t="str">
        <f>VLOOKUP(表1[[#This Row],[物品名称]],[1]!表1[#Data],2,FALSE)</f>
        <v>光明女神碎片九</v>
      </c>
      <c r="M108" s="25" t="str">
        <f>VLOOKUP(表1[[#This Row],[物品描述]],[1]!表1[#Data],2,FALSE)</f>
        <v>此道具已废弃，可直接出售兑换1000金币</v>
      </c>
    </row>
    <row r="109" spans="1:13" ht="17.25" x14ac:dyDescent="0.35">
      <c r="A109" s="22" t="s">
        <v>196</v>
      </c>
      <c r="B109" s="23" t="str">
        <f>"item_name_"&amp;表1[[#This Row],[key值]]</f>
        <v>item_name_i800</v>
      </c>
      <c r="C109" s="23" t="str">
        <f>"item_desc_"&amp;表1[[#This Row],[key值]]</f>
        <v>item_desc_i800</v>
      </c>
      <c r="D109" s="22">
        <v>10</v>
      </c>
      <c r="E109" s="22">
        <v>-1</v>
      </c>
      <c r="F109" s="22">
        <v>0</v>
      </c>
      <c r="G109" s="22">
        <v>0</v>
      </c>
      <c r="H109" s="22">
        <v>0</v>
      </c>
      <c r="I109" s="22" t="s">
        <v>344</v>
      </c>
      <c r="J109" s="22">
        <v>0</v>
      </c>
      <c r="K109" s="22">
        <v>0</v>
      </c>
      <c r="L109" s="24" t="str">
        <f>VLOOKUP(表1[[#This Row],[物品名称]],[1]!表1[#Data],2,FALSE)</f>
        <v>Viettel预付卡10000</v>
      </c>
      <c r="M109" s="24" t="str">
        <f>VLOOKUP(表1[[#This Row],[物品描述]],[1]!表1[#Data],2,FALSE)</f>
        <v>Viettel预付卡10000</v>
      </c>
    </row>
    <row r="110" spans="1:13" ht="17.25" x14ac:dyDescent="0.35">
      <c r="A110" s="22" t="s">
        <v>197</v>
      </c>
      <c r="B110" s="23" t="str">
        <f>"item_name_"&amp;表1[[#This Row],[key值]]</f>
        <v>item_name_i801</v>
      </c>
      <c r="C110" s="23" t="str">
        <f>"item_desc_"&amp;表1[[#This Row],[key值]]</f>
        <v>item_desc_i801</v>
      </c>
      <c r="D110" s="22">
        <v>10</v>
      </c>
      <c r="E110" s="22">
        <v>-1</v>
      </c>
      <c r="F110" s="22">
        <v>0</v>
      </c>
      <c r="G110" s="22">
        <v>0</v>
      </c>
      <c r="H110" s="22">
        <v>0</v>
      </c>
      <c r="I110" s="22" t="s">
        <v>345</v>
      </c>
      <c r="J110" s="22">
        <v>0</v>
      </c>
      <c r="K110" s="22">
        <v>0</v>
      </c>
      <c r="L110" s="24" t="str">
        <f>VLOOKUP(表1[[#This Row],[物品名称]],[1]!表1[#Data],2,FALSE)</f>
        <v>Viettel预付卡20000</v>
      </c>
      <c r="M110" s="24" t="str">
        <f>VLOOKUP(表1[[#This Row],[物品描述]],[1]!表1[#Data],2,FALSE)</f>
        <v>Viettel预付卡20000</v>
      </c>
    </row>
    <row r="111" spans="1:13" ht="17.25" x14ac:dyDescent="0.35">
      <c r="A111" s="22" t="s">
        <v>328</v>
      </c>
      <c r="B111" s="23" t="str">
        <f>"item_name_"&amp;表1[[#This Row],[key值]]</f>
        <v>item_name_i802</v>
      </c>
      <c r="C111" s="23" t="str">
        <f>"item_desc_"&amp;表1[[#This Row],[key值]]</f>
        <v>item_desc_i802</v>
      </c>
      <c r="D111" s="22">
        <v>10</v>
      </c>
      <c r="E111" s="22">
        <v>-1</v>
      </c>
      <c r="F111" s="22">
        <v>0</v>
      </c>
      <c r="G111" s="22">
        <v>0</v>
      </c>
      <c r="H111" s="22">
        <v>0</v>
      </c>
      <c r="I111" s="22" t="s">
        <v>346</v>
      </c>
      <c r="J111" s="22">
        <v>0</v>
      </c>
      <c r="K111" s="22">
        <v>0</v>
      </c>
      <c r="L111" s="24" t="str">
        <f>VLOOKUP(表1[[#This Row],[物品名称]],[1]!表1[#Data],2,FALSE)</f>
        <v>Viettel预付卡50000</v>
      </c>
      <c r="M111" s="24" t="str">
        <f>VLOOKUP(表1[[#This Row],[物品描述]],[1]!表1[#Data],2,FALSE)</f>
        <v>Viettel预付卡50000</v>
      </c>
    </row>
    <row r="112" spans="1:13" ht="17.25" x14ac:dyDescent="0.35">
      <c r="A112" s="22" t="s">
        <v>329</v>
      </c>
      <c r="B112" s="23" t="str">
        <f>"item_name_"&amp;表1[[#This Row],[key值]]</f>
        <v>item_name_i803</v>
      </c>
      <c r="C112" s="23" t="str">
        <f>"item_desc_"&amp;表1[[#This Row],[key值]]</f>
        <v>item_desc_i803</v>
      </c>
      <c r="D112" s="22">
        <v>10</v>
      </c>
      <c r="E112" s="22">
        <v>-1</v>
      </c>
      <c r="F112" s="22">
        <v>0</v>
      </c>
      <c r="G112" s="22">
        <v>0</v>
      </c>
      <c r="H112" s="22">
        <v>0</v>
      </c>
      <c r="I112" s="22" t="s">
        <v>347</v>
      </c>
      <c r="J112" s="22">
        <v>0</v>
      </c>
      <c r="K112" s="22">
        <v>0</v>
      </c>
      <c r="L112" s="24" t="str">
        <f>VLOOKUP(表1[[#This Row],[物品名称]],[1]!表1[#Data],2,FALSE)</f>
        <v>Viettel预付卡100000</v>
      </c>
      <c r="M112" s="24" t="str">
        <f>VLOOKUP(表1[[#This Row],[物品描述]],[1]!表1[#Data],2,FALSE)</f>
        <v>Viettel预付卡100000</v>
      </c>
    </row>
    <row r="113" spans="1:13" ht="17.25" x14ac:dyDescent="0.35">
      <c r="A113" s="22" t="s">
        <v>330</v>
      </c>
      <c r="B113" s="23" t="str">
        <f>"item_name_"&amp;表1[[#This Row],[key值]]</f>
        <v>item_name_i804</v>
      </c>
      <c r="C113" s="23" t="str">
        <f>"item_desc_"&amp;表1[[#This Row],[key值]]</f>
        <v>item_desc_i804</v>
      </c>
      <c r="D113" s="22">
        <v>10</v>
      </c>
      <c r="E113" s="22">
        <v>-1</v>
      </c>
      <c r="F113" s="22">
        <v>0</v>
      </c>
      <c r="G113" s="22">
        <v>0</v>
      </c>
      <c r="H113" s="22">
        <v>0</v>
      </c>
      <c r="I113" s="22" t="s">
        <v>348</v>
      </c>
      <c r="J113" s="22">
        <v>0</v>
      </c>
      <c r="K113" s="22">
        <v>0</v>
      </c>
      <c r="L113" s="24" t="str">
        <f>VLOOKUP(表1[[#This Row],[物品名称]],[1]!表1[#Data],2,FALSE)</f>
        <v>Viettel预付卡200000</v>
      </c>
      <c r="M113" s="24" t="str">
        <f>VLOOKUP(表1[[#This Row],[物品描述]],[1]!表1[#Data],2,FALSE)</f>
        <v>Viettel预付卡200000</v>
      </c>
    </row>
    <row r="114" spans="1:13" ht="17.25" x14ac:dyDescent="0.35">
      <c r="A114" s="22" t="s">
        <v>331</v>
      </c>
      <c r="B114" s="23" t="str">
        <f>"item_name_"&amp;表1[[#This Row],[key值]]</f>
        <v>item_name_i805</v>
      </c>
      <c r="C114" s="23" t="str">
        <f>"item_desc_"&amp;表1[[#This Row],[key值]]</f>
        <v>item_desc_i805</v>
      </c>
      <c r="D114" s="22">
        <v>11</v>
      </c>
      <c r="E114" s="22">
        <v>-1</v>
      </c>
      <c r="F114" s="22">
        <v>0</v>
      </c>
      <c r="G114" s="22">
        <v>0</v>
      </c>
      <c r="H114" s="22">
        <v>0</v>
      </c>
      <c r="I114" s="22" t="s">
        <v>349</v>
      </c>
      <c r="J114" s="22">
        <v>0</v>
      </c>
      <c r="K114" s="22">
        <v>0</v>
      </c>
      <c r="L114" s="24" t="str">
        <f>VLOOKUP(表1[[#This Row],[物品名称]],[1]!表1[#Data],2,FALSE)</f>
        <v>Viettel预付卡500000</v>
      </c>
      <c r="M114" s="24" t="str">
        <f>VLOOKUP(表1[[#This Row],[物品描述]],[1]!表1[#Data],2,FALSE)</f>
        <v>Viettel预付卡500000</v>
      </c>
    </row>
    <row r="115" spans="1:13" ht="17.25" x14ac:dyDescent="0.35">
      <c r="A115" s="22" t="s">
        <v>332</v>
      </c>
      <c r="B115" s="23" t="str">
        <f>"item_name_"&amp;表1[[#This Row],[key值]]</f>
        <v>item_name_i810</v>
      </c>
      <c r="C115" s="23" t="str">
        <f>"item_desc_"&amp;表1[[#This Row],[key值]]</f>
        <v>item_desc_i810</v>
      </c>
      <c r="D115" s="22">
        <v>10</v>
      </c>
      <c r="E115" s="22">
        <v>-1</v>
      </c>
      <c r="F115" s="22">
        <v>0</v>
      </c>
      <c r="G115" s="22">
        <v>0</v>
      </c>
      <c r="H115" s="22">
        <v>0</v>
      </c>
      <c r="I115" s="22" t="s">
        <v>344</v>
      </c>
      <c r="J115" s="22">
        <v>0</v>
      </c>
      <c r="K115" s="22">
        <v>0</v>
      </c>
      <c r="L115" s="24" t="str">
        <f>VLOOKUP(表1[[#This Row],[物品名称]],[1]!表1[#Data],2,FALSE)</f>
        <v>Vinaphone预付卡10000</v>
      </c>
      <c r="M115" s="24" t="str">
        <f>VLOOKUP(表1[[#This Row],[物品描述]],[1]!表1[#Data],2,FALSE)</f>
        <v>Vinaphone预付卡10000</v>
      </c>
    </row>
    <row r="116" spans="1:13" ht="17.25" x14ac:dyDescent="0.35">
      <c r="A116" s="22" t="s">
        <v>200</v>
      </c>
      <c r="B116" s="23" t="str">
        <f>"item_name_"&amp;表1[[#This Row],[key值]]</f>
        <v>item_name_i811</v>
      </c>
      <c r="C116" s="23" t="str">
        <f>"item_desc_"&amp;表1[[#This Row],[key值]]</f>
        <v>item_desc_i811</v>
      </c>
      <c r="D116" s="22">
        <v>10</v>
      </c>
      <c r="E116" s="22">
        <v>-1</v>
      </c>
      <c r="F116" s="22">
        <v>0</v>
      </c>
      <c r="G116" s="22">
        <v>0</v>
      </c>
      <c r="H116" s="22">
        <v>0</v>
      </c>
      <c r="I116" s="22" t="s">
        <v>345</v>
      </c>
      <c r="J116" s="22">
        <v>0</v>
      </c>
      <c r="K116" s="22">
        <v>0</v>
      </c>
      <c r="L116" s="24" t="str">
        <f>VLOOKUP(表1[[#This Row],[物品名称]],[1]!表1[#Data],2,FALSE)</f>
        <v>Vinaphone预付卡20000</v>
      </c>
      <c r="M116" s="24" t="str">
        <f>VLOOKUP(表1[[#This Row],[物品描述]],[1]!表1[#Data],2,FALSE)</f>
        <v>Vinaphone预付卡20000</v>
      </c>
    </row>
    <row r="117" spans="1:13" ht="17.25" x14ac:dyDescent="0.35">
      <c r="A117" s="22" t="s">
        <v>201</v>
      </c>
      <c r="B117" s="23" t="str">
        <f>"item_name_"&amp;表1[[#This Row],[key值]]</f>
        <v>item_name_i812</v>
      </c>
      <c r="C117" s="23" t="str">
        <f>"item_desc_"&amp;表1[[#This Row],[key值]]</f>
        <v>item_desc_i812</v>
      </c>
      <c r="D117" s="22">
        <v>10</v>
      </c>
      <c r="E117" s="22">
        <v>-1</v>
      </c>
      <c r="F117" s="22">
        <v>0</v>
      </c>
      <c r="G117" s="22">
        <v>0</v>
      </c>
      <c r="H117" s="22">
        <v>0</v>
      </c>
      <c r="I117" s="22" t="s">
        <v>346</v>
      </c>
      <c r="J117" s="22">
        <v>0</v>
      </c>
      <c r="K117" s="22">
        <v>0</v>
      </c>
      <c r="L117" s="24" t="str">
        <f>VLOOKUP(表1[[#This Row],[物品名称]],[1]!表1[#Data],2,FALSE)</f>
        <v>Vinaphone预付卡50000</v>
      </c>
      <c r="M117" s="24" t="str">
        <f>VLOOKUP(表1[[#This Row],[物品描述]],[1]!表1[#Data],2,FALSE)</f>
        <v>Vinaphone预付卡50000</v>
      </c>
    </row>
    <row r="118" spans="1:13" ht="17.25" x14ac:dyDescent="0.35">
      <c r="A118" s="22" t="s">
        <v>202</v>
      </c>
      <c r="B118" s="23" t="str">
        <f>"item_name_"&amp;表1[[#This Row],[key值]]</f>
        <v>item_name_i813</v>
      </c>
      <c r="C118" s="23" t="str">
        <f>"item_desc_"&amp;表1[[#This Row],[key值]]</f>
        <v>item_desc_i813</v>
      </c>
      <c r="D118" s="22">
        <v>10</v>
      </c>
      <c r="E118" s="22">
        <v>-1</v>
      </c>
      <c r="F118" s="22">
        <v>0</v>
      </c>
      <c r="G118" s="22">
        <v>0</v>
      </c>
      <c r="H118" s="22">
        <v>0</v>
      </c>
      <c r="I118" s="22" t="s">
        <v>347</v>
      </c>
      <c r="J118" s="22">
        <v>0</v>
      </c>
      <c r="K118" s="22">
        <v>0</v>
      </c>
      <c r="L118" s="24" t="str">
        <f>VLOOKUP(表1[[#This Row],[物品名称]],[1]!表1[#Data],2,FALSE)</f>
        <v>Vinaphone预付卡100000</v>
      </c>
      <c r="M118" s="24" t="str">
        <f>VLOOKUP(表1[[#This Row],[物品描述]],[1]!表1[#Data],2,FALSE)</f>
        <v>Vinaphone预付卡100000</v>
      </c>
    </row>
    <row r="119" spans="1:13" ht="17.25" x14ac:dyDescent="0.35">
      <c r="A119" s="22" t="s">
        <v>203</v>
      </c>
      <c r="B119" s="23" t="str">
        <f>"item_name_"&amp;表1[[#This Row],[key值]]</f>
        <v>item_name_i814</v>
      </c>
      <c r="C119" s="23" t="str">
        <f>"item_desc_"&amp;表1[[#This Row],[key值]]</f>
        <v>item_desc_i814</v>
      </c>
      <c r="D119" s="22">
        <v>10</v>
      </c>
      <c r="E119" s="22">
        <v>-1</v>
      </c>
      <c r="F119" s="22">
        <v>0</v>
      </c>
      <c r="G119" s="22">
        <v>0</v>
      </c>
      <c r="H119" s="22">
        <v>0</v>
      </c>
      <c r="I119" s="22" t="s">
        <v>348</v>
      </c>
      <c r="J119" s="22">
        <v>0</v>
      </c>
      <c r="K119" s="22">
        <v>0</v>
      </c>
      <c r="L119" s="24" t="str">
        <f>VLOOKUP(表1[[#This Row],[物品名称]],[1]!表1[#Data],2,FALSE)</f>
        <v>Vinaphone预付卡200000</v>
      </c>
      <c r="M119" s="24" t="str">
        <f>VLOOKUP(表1[[#This Row],[物品描述]],[1]!表1[#Data],2,FALSE)</f>
        <v>Vinaphone预付卡200000</v>
      </c>
    </row>
    <row r="120" spans="1:13" ht="17.25" x14ac:dyDescent="0.35">
      <c r="A120" s="22" t="s">
        <v>333</v>
      </c>
      <c r="B120" s="23" t="str">
        <f>"item_name_"&amp;表1[[#This Row],[key值]]</f>
        <v>item_name_i815</v>
      </c>
      <c r="C120" s="23" t="str">
        <f>"item_desc_"&amp;表1[[#This Row],[key值]]</f>
        <v>item_desc_i815</v>
      </c>
      <c r="D120" s="22">
        <v>11</v>
      </c>
      <c r="E120" s="22">
        <v>-1</v>
      </c>
      <c r="F120" s="22">
        <v>0</v>
      </c>
      <c r="G120" s="22">
        <v>0</v>
      </c>
      <c r="H120" s="22">
        <v>0</v>
      </c>
      <c r="I120" s="22" t="s">
        <v>349</v>
      </c>
      <c r="J120" s="22">
        <v>0</v>
      </c>
      <c r="K120" s="22">
        <v>0</v>
      </c>
      <c r="L120" s="24" t="str">
        <f>VLOOKUP(表1[[#This Row],[物品名称]],[1]!表1[#Data],2,FALSE)</f>
        <v>Vinaphone预付卡500000</v>
      </c>
      <c r="M120" s="24" t="str">
        <f>VLOOKUP(表1[[#This Row],[物品描述]],[1]!表1[#Data],2,FALSE)</f>
        <v>Vinaphone预付卡500000</v>
      </c>
    </row>
    <row r="121" spans="1:13" ht="17.25" x14ac:dyDescent="0.35">
      <c r="A121" s="22" t="s">
        <v>334</v>
      </c>
      <c r="B121" s="23" t="str">
        <f>"item_name_"&amp;表1[[#This Row],[key值]]</f>
        <v>item_name_i820</v>
      </c>
      <c r="C121" s="23" t="str">
        <f>"item_desc_"&amp;表1[[#This Row],[key值]]</f>
        <v>item_desc_i820</v>
      </c>
      <c r="D121" s="22">
        <v>10</v>
      </c>
      <c r="E121" s="22">
        <v>-1</v>
      </c>
      <c r="F121" s="22">
        <v>0</v>
      </c>
      <c r="G121" s="22">
        <v>0</v>
      </c>
      <c r="H121" s="22">
        <v>0</v>
      </c>
      <c r="I121" s="22" t="s">
        <v>344</v>
      </c>
      <c r="J121" s="22">
        <v>0</v>
      </c>
      <c r="K121" s="22">
        <v>0</v>
      </c>
      <c r="L121" s="24" t="str">
        <f>VLOOKUP(表1[[#This Row],[物品名称]],[1]!表1[#Data],2,FALSE)</f>
        <v>Mobifone预付卡10000</v>
      </c>
      <c r="M121" s="24" t="str">
        <f>VLOOKUP(表1[[#This Row],[物品描述]],[1]!表1[#Data],2,FALSE)</f>
        <v>Mobifone预付卡10000</v>
      </c>
    </row>
    <row r="122" spans="1:13" ht="17.25" x14ac:dyDescent="0.35">
      <c r="A122" s="22" t="s">
        <v>335</v>
      </c>
      <c r="B122" s="23" t="str">
        <f>"item_name_"&amp;表1[[#This Row],[key值]]</f>
        <v>item_name_i821</v>
      </c>
      <c r="C122" s="23" t="str">
        <f>"item_desc_"&amp;表1[[#This Row],[key值]]</f>
        <v>item_desc_i821</v>
      </c>
      <c r="D122" s="22">
        <v>10</v>
      </c>
      <c r="E122" s="22">
        <v>-1</v>
      </c>
      <c r="F122" s="22">
        <v>0</v>
      </c>
      <c r="G122" s="22">
        <v>0</v>
      </c>
      <c r="H122" s="22">
        <v>0</v>
      </c>
      <c r="I122" s="22" t="s">
        <v>345</v>
      </c>
      <c r="J122" s="22">
        <v>0</v>
      </c>
      <c r="K122" s="22">
        <v>0</v>
      </c>
      <c r="L122" s="24" t="str">
        <f>VLOOKUP(表1[[#This Row],[物品名称]],[1]!表1[#Data],2,FALSE)</f>
        <v>Mobifone预付卡20000</v>
      </c>
      <c r="M122" s="24" t="str">
        <f>VLOOKUP(表1[[#This Row],[物品描述]],[1]!表1[#Data],2,FALSE)</f>
        <v>Mobifone预付卡20000</v>
      </c>
    </row>
    <row r="123" spans="1:13" ht="17.25" x14ac:dyDescent="0.35">
      <c r="A123" s="22" t="s">
        <v>336</v>
      </c>
      <c r="B123" s="23" t="str">
        <f>"item_name_"&amp;表1[[#This Row],[key值]]</f>
        <v>item_name_i822</v>
      </c>
      <c r="C123" s="23" t="str">
        <f>"item_desc_"&amp;表1[[#This Row],[key值]]</f>
        <v>item_desc_i822</v>
      </c>
      <c r="D123" s="22">
        <v>10</v>
      </c>
      <c r="E123" s="22">
        <v>-1</v>
      </c>
      <c r="F123" s="22">
        <v>0</v>
      </c>
      <c r="G123" s="22">
        <v>0</v>
      </c>
      <c r="H123" s="22">
        <v>0</v>
      </c>
      <c r="I123" s="22" t="s">
        <v>346</v>
      </c>
      <c r="J123" s="22">
        <v>0</v>
      </c>
      <c r="K123" s="22">
        <v>0</v>
      </c>
      <c r="L123" s="24" t="str">
        <f>VLOOKUP(表1[[#This Row],[物品名称]],[1]!表1[#Data],2,FALSE)</f>
        <v>Mobifone预付卡50000</v>
      </c>
      <c r="M123" s="24" t="str">
        <f>VLOOKUP(表1[[#This Row],[物品描述]],[1]!表1[#Data],2,FALSE)</f>
        <v>Mobifone预付卡50000</v>
      </c>
    </row>
    <row r="124" spans="1:13" ht="17.25" x14ac:dyDescent="0.35">
      <c r="A124" s="22" t="s">
        <v>337</v>
      </c>
      <c r="B124" s="23" t="str">
        <f>"item_name_"&amp;表1[[#This Row],[key值]]</f>
        <v>item_name_i823</v>
      </c>
      <c r="C124" s="23" t="str">
        <f>"item_desc_"&amp;表1[[#This Row],[key值]]</f>
        <v>item_desc_i823</v>
      </c>
      <c r="D124" s="22">
        <v>10</v>
      </c>
      <c r="E124" s="22">
        <v>-1</v>
      </c>
      <c r="F124" s="22">
        <v>0</v>
      </c>
      <c r="G124" s="22">
        <v>0</v>
      </c>
      <c r="H124" s="22">
        <v>0</v>
      </c>
      <c r="I124" s="22" t="s">
        <v>347</v>
      </c>
      <c r="J124" s="22">
        <v>0</v>
      </c>
      <c r="K124" s="22">
        <v>0</v>
      </c>
      <c r="L124" s="24" t="str">
        <f>VLOOKUP(表1[[#This Row],[物品名称]],[1]!表1[#Data],2,FALSE)</f>
        <v>Mobifone预付卡100000</v>
      </c>
      <c r="M124" s="24" t="str">
        <f>VLOOKUP(表1[[#This Row],[物品描述]],[1]!表1[#Data],2,FALSE)</f>
        <v>Mobifone预付卡100000</v>
      </c>
    </row>
    <row r="125" spans="1:13" ht="17.25" x14ac:dyDescent="0.35">
      <c r="A125" s="22" t="s">
        <v>338</v>
      </c>
      <c r="B125" s="23" t="str">
        <f>"item_name_"&amp;表1[[#This Row],[key值]]</f>
        <v>item_name_i824</v>
      </c>
      <c r="C125" s="23" t="str">
        <f>"item_desc_"&amp;表1[[#This Row],[key值]]</f>
        <v>item_desc_i824</v>
      </c>
      <c r="D125" s="22">
        <v>10</v>
      </c>
      <c r="E125" s="22">
        <v>-1</v>
      </c>
      <c r="F125" s="22">
        <v>0</v>
      </c>
      <c r="G125" s="22">
        <v>0</v>
      </c>
      <c r="H125" s="22">
        <v>0</v>
      </c>
      <c r="I125" s="22" t="s">
        <v>348</v>
      </c>
      <c r="J125" s="22">
        <v>0</v>
      </c>
      <c r="K125" s="22">
        <v>0</v>
      </c>
      <c r="L125" s="24" t="str">
        <f>VLOOKUP(表1[[#This Row],[物品名称]],[1]!表1[#Data],2,FALSE)</f>
        <v>Mobifone预付卡200000</v>
      </c>
      <c r="M125" s="24" t="str">
        <f>VLOOKUP(表1[[#This Row],[物品描述]],[1]!表1[#Data],2,FALSE)</f>
        <v>Mobifone预付卡200000</v>
      </c>
    </row>
    <row r="126" spans="1:13" ht="17.25" x14ac:dyDescent="0.35">
      <c r="A126" s="22" t="s">
        <v>339</v>
      </c>
      <c r="B126" s="23" t="str">
        <f>"item_name_"&amp;表1[[#This Row],[key值]]</f>
        <v>item_name_i825</v>
      </c>
      <c r="C126" s="23" t="str">
        <f>"item_desc_"&amp;表1[[#This Row],[key值]]</f>
        <v>item_desc_i825</v>
      </c>
      <c r="D126" s="22">
        <v>11</v>
      </c>
      <c r="E126" s="22">
        <v>-1</v>
      </c>
      <c r="F126" s="22">
        <v>0</v>
      </c>
      <c r="G126" s="22">
        <v>0</v>
      </c>
      <c r="H126" s="22">
        <v>0</v>
      </c>
      <c r="I126" s="22" t="s">
        <v>349</v>
      </c>
      <c r="J126" s="22">
        <v>0</v>
      </c>
      <c r="K126" s="22">
        <v>0</v>
      </c>
      <c r="L126" s="24" t="str">
        <f>VLOOKUP(表1[[#This Row],[物品名称]],[1]!表1[#Data],2,FALSE)</f>
        <v>Mobifone预付卡500000</v>
      </c>
      <c r="M126" s="24" t="str">
        <f>VLOOKUP(表1[[#This Row],[物品描述]],[1]!表1[#Data],2,FALSE)</f>
        <v>Mobifone预付卡500000</v>
      </c>
    </row>
    <row r="127" spans="1:13" ht="17.25" x14ac:dyDescent="0.35">
      <c r="A127" s="22" t="s">
        <v>340</v>
      </c>
      <c r="B127" s="23" t="str">
        <f>"item_name_"&amp;表1[[#This Row],[key值]]</f>
        <v>item_name_i850</v>
      </c>
      <c r="C127" s="23" t="str">
        <f>"item_desc_"&amp;表1[[#This Row],[key值]]</f>
        <v>item_desc_i850</v>
      </c>
      <c r="D127" s="22">
        <v>11</v>
      </c>
      <c r="E127" s="22">
        <v>-1</v>
      </c>
      <c r="F127" s="22">
        <v>0</v>
      </c>
      <c r="G127" s="22">
        <v>0</v>
      </c>
      <c r="H127" s="22">
        <v>0</v>
      </c>
      <c r="I127" s="22" t="s">
        <v>207</v>
      </c>
      <c r="J127" s="22">
        <v>0</v>
      </c>
      <c r="K127" s="22">
        <v>0</v>
      </c>
      <c r="L127" s="24" t="str">
        <f>VLOOKUP(表1[[#This Row],[物品名称]],[1]!表1[#Data],2,FALSE)</f>
        <v>剃须刀</v>
      </c>
      <c r="M127" s="24" t="str">
        <f>VLOOKUP(表1[[#This Row],[物品描述]],[1]!表1[#Data],2,FALSE)</f>
        <v>剃须刀</v>
      </c>
    </row>
    <row r="128" spans="1:13" ht="17.25" x14ac:dyDescent="0.35">
      <c r="A128" s="22" t="s">
        <v>341</v>
      </c>
      <c r="B128" s="23" t="str">
        <f>"item_name_"&amp;表1[[#This Row],[key值]]</f>
        <v>item_name_i851</v>
      </c>
      <c r="C128" s="23" t="str">
        <f>"item_desc_"&amp;表1[[#This Row],[key值]]</f>
        <v>item_desc_i851</v>
      </c>
      <c r="D128" s="22">
        <v>11</v>
      </c>
      <c r="E128" s="22">
        <v>-1</v>
      </c>
      <c r="F128" s="22">
        <v>0</v>
      </c>
      <c r="G128" s="22">
        <v>0</v>
      </c>
      <c r="H128" s="22">
        <v>0</v>
      </c>
      <c r="I128" s="22" t="s">
        <v>208</v>
      </c>
      <c r="J128" s="22">
        <v>0</v>
      </c>
      <c r="K128" s="22">
        <v>0</v>
      </c>
      <c r="L128" s="24" t="str">
        <f>VLOOKUP(表1[[#This Row],[物品名称]],[1]!表1[#Data],2,FALSE)</f>
        <v>空气净化器</v>
      </c>
      <c r="M128" s="24" t="str">
        <f>VLOOKUP(表1[[#This Row],[物品描述]],[1]!表1[#Data],2,FALSE)</f>
        <v>空气净化器</v>
      </c>
    </row>
    <row r="129" spans="1:13" ht="17.25" x14ac:dyDescent="0.35">
      <c r="A129" s="22" t="s">
        <v>342</v>
      </c>
      <c r="B129" s="23" t="str">
        <f>"item_name_"&amp;表1[[#This Row],[key值]]</f>
        <v>item_name_i852</v>
      </c>
      <c r="C129" s="23" t="str">
        <f>"item_desc_"&amp;表1[[#This Row],[key值]]</f>
        <v>item_desc_i852</v>
      </c>
      <c r="D129" s="22">
        <v>11</v>
      </c>
      <c r="E129" s="22">
        <v>-1</v>
      </c>
      <c r="F129" s="22">
        <v>0</v>
      </c>
      <c r="G129" s="22">
        <v>0</v>
      </c>
      <c r="H129" s="22">
        <v>0</v>
      </c>
      <c r="I129" s="22" t="s">
        <v>209</v>
      </c>
      <c r="J129" s="22">
        <v>0</v>
      </c>
      <c r="K129" s="22">
        <v>0</v>
      </c>
      <c r="L129" s="24" t="str">
        <f>VLOOKUP(表1[[#This Row],[物品名称]],[1]!表1[#Data],2,FALSE)</f>
        <v>iPhone8</v>
      </c>
      <c r="M129" s="24" t="str">
        <f>VLOOKUP(表1[[#This Row],[物品描述]],[1]!表1[#Data],2,FALSE)</f>
        <v>iPhone8</v>
      </c>
    </row>
    <row r="130" spans="1:13" ht="17.25" x14ac:dyDescent="0.35">
      <c r="A130" s="22" t="s">
        <v>343</v>
      </c>
      <c r="B130" s="23" t="str">
        <f>"item_name_"&amp;表1[[#This Row],[key值]]</f>
        <v>item_name_i853</v>
      </c>
      <c r="C130" s="23" t="str">
        <f>"item_desc_"&amp;表1[[#This Row],[key值]]</f>
        <v>item_desc_i853</v>
      </c>
      <c r="D130" s="22">
        <v>11</v>
      </c>
      <c r="E130" s="22">
        <v>-1</v>
      </c>
      <c r="F130" s="22">
        <v>0</v>
      </c>
      <c r="G130" s="22">
        <v>0</v>
      </c>
      <c r="H130" s="22">
        <v>0</v>
      </c>
      <c r="I130" s="22" t="s">
        <v>210</v>
      </c>
      <c r="J130" s="22">
        <v>0</v>
      </c>
      <c r="K130" s="22">
        <v>0</v>
      </c>
      <c r="L130" s="24" t="str">
        <f>VLOOKUP(表1[[#This Row],[物品名称]],[1]!表1[#Data],2,FALSE)</f>
        <v>iPhoneX</v>
      </c>
      <c r="M130" s="24" t="str">
        <f>VLOOKUP(表1[[#This Row],[物品描述]],[1]!表1[#Data],2,FALSE)</f>
        <v>iPhoneX</v>
      </c>
    </row>
    <row r="131" spans="1:13" ht="17.25" x14ac:dyDescent="0.35">
      <c r="A131" s="22" t="s">
        <v>233</v>
      </c>
      <c r="B131" s="23" t="str">
        <f>"item_name_"&amp;表1[[#This Row],[key值]]</f>
        <v>item_name_w001</v>
      </c>
      <c r="C131" s="23" t="str">
        <f>"item_desc_"&amp;表1[[#This Row],[key值]]</f>
        <v>item_desc_w001</v>
      </c>
      <c r="D131" s="22">
        <v>12</v>
      </c>
      <c r="E131" s="22">
        <v>-1</v>
      </c>
      <c r="F131" s="22">
        <v>0</v>
      </c>
      <c r="G131" s="28">
        <v>1</v>
      </c>
      <c r="H131" s="22">
        <v>0</v>
      </c>
      <c r="I131" s="22" t="s">
        <v>291</v>
      </c>
      <c r="J131" s="22">
        <v>0</v>
      </c>
      <c r="K131" s="22">
        <v>0</v>
      </c>
      <c r="L131" s="24" t="str">
        <f>VLOOKUP(表1[[#This Row],[物品名称]],[1]!表1[#Data],2,FALSE)</f>
        <v>火炮</v>
      </c>
      <c r="M131" s="24" t="str">
        <f>VLOOKUP(表1[[#This Row],[物品描述]],[1]!表1[#Data],2,FALSE)</f>
        <v>使用后直接获得【火炮】皮肤，如果已拥有皮肤，则兑换成10个【火炮】碎片</v>
      </c>
    </row>
    <row r="132" spans="1:13" ht="17.25" x14ac:dyDescent="0.35">
      <c r="A132" s="22" t="s">
        <v>234</v>
      </c>
      <c r="B132" s="23" t="str">
        <f>"item_name_"&amp;表1[[#This Row],[key值]]</f>
        <v>item_name_w002</v>
      </c>
      <c r="C132" s="23" t="str">
        <f>"item_desc_"&amp;表1[[#This Row],[key值]]</f>
        <v>item_desc_w002</v>
      </c>
      <c r="D132" s="22">
        <v>12</v>
      </c>
      <c r="E132" s="22">
        <v>-1</v>
      </c>
      <c r="F132" s="22">
        <v>0</v>
      </c>
      <c r="G132" s="28">
        <v>2</v>
      </c>
      <c r="H132" s="22">
        <v>0</v>
      </c>
      <c r="I132" s="22" t="s">
        <v>292</v>
      </c>
      <c r="J132" s="22">
        <v>0</v>
      </c>
      <c r="K132" s="22">
        <v>0</v>
      </c>
      <c r="L132" s="24" t="str">
        <f>VLOOKUP(表1[[#This Row],[物品名称]],[1]!表1[#Data],2,FALSE)</f>
        <v>恶魔之血</v>
      </c>
      <c r="M132" s="24" t="str">
        <f>VLOOKUP(表1[[#This Row],[物品描述]],[1]!表1[#Data],2,FALSE)</f>
        <v>使用后直接获得【恶魔之血】皮肤，如果已拥有皮肤，则兑换成50个【恶魔之血】碎片</v>
      </c>
    </row>
    <row r="133" spans="1:13" ht="17.25" x14ac:dyDescent="0.35">
      <c r="A133" s="22" t="s">
        <v>235</v>
      </c>
      <c r="B133" s="23" t="str">
        <f>"item_name_"&amp;表1[[#This Row],[key值]]</f>
        <v>item_name_w003</v>
      </c>
      <c r="C133" s="23" t="str">
        <f>"item_desc_"&amp;表1[[#This Row],[key值]]</f>
        <v>item_desc_w003</v>
      </c>
      <c r="D133" s="22">
        <v>12</v>
      </c>
      <c r="E133" s="22">
        <v>-1</v>
      </c>
      <c r="F133" s="22">
        <v>0</v>
      </c>
      <c r="G133" s="28">
        <v>3</v>
      </c>
      <c r="H133" s="22">
        <v>0</v>
      </c>
      <c r="I133" s="22" t="s">
        <v>293</v>
      </c>
      <c r="J133" s="22">
        <v>0</v>
      </c>
      <c r="K133" s="22">
        <v>0</v>
      </c>
      <c r="L133" s="24" t="str">
        <f>VLOOKUP(表1[[#This Row],[物品名称]],[1]!表1[#Data],2,FALSE)</f>
        <v>天使之眼</v>
      </c>
      <c r="M133" s="24" t="str">
        <f>VLOOKUP(表1[[#This Row],[物品描述]],[1]!表1[#Data],2,FALSE)</f>
        <v>使用后直接获得【天使之眼】皮肤，如果已拥有皮肤，则兑换成90个【天使之眼】碎片</v>
      </c>
    </row>
    <row r="134" spans="1:13" ht="17.25" x14ac:dyDescent="0.35">
      <c r="A134" s="22" t="s">
        <v>236</v>
      </c>
      <c r="B134" s="23" t="str">
        <f>"item_name_"&amp;表1[[#This Row],[key值]]</f>
        <v>item_name_w004</v>
      </c>
      <c r="C134" s="23" t="str">
        <f>"item_desc_"&amp;表1[[#This Row],[key值]]</f>
        <v>item_desc_w004</v>
      </c>
      <c r="D134" s="22">
        <v>12</v>
      </c>
      <c r="E134" s="22">
        <v>-1</v>
      </c>
      <c r="F134" s="22">
        <v>0</v>
      </c>
      <c r="G134" s="28">
        <v>4</v>
      </c>
      <c r="H134" s="22">
        <v>0</v>
      </c>
      <c r="I134" s="22" t="s">
        <v>294</v>
      </c>
      <c r="J134" s="22">
        <v>0</v>
      </c>
      <c r="K134" s="22">
        <v>0</v>
      </c>
      <c r="L134" s="24" t="str">
        <f>VLOOKUP(表1[[#This Row],[物品名称]],[1]!表1[#Data],2,FALSE)</f>
        <v>GX770电磁炮</v>
      </c>
      <c r="M134" s="24" t="str">
        <f>VLOOKUP(表1[[#This Row],[物品描述]],[1]!表1[#Data],2,FALSE)</f>
        <v>使用后直接获得【GX770电磁炮】皮肤，如果已拥有皮肤，则兑换成60个【GX770电磁炮】碎片</v>
      </c>
    </row>
    <row r="135" spans="1:13" ht="17.25" x14ac:dyDescent="0.35">
      <c r="A135" s="22" t="s">
        <v>237</v>
      </c>
      <c r="B135" s="23" t="str">
        <f>"item_name_"&amp;表1[[#This Row],[key值]]</f>
        <v>item_name_w005</v>
      </c>
      <c r="C135" s="23" t="str">
        <f>"item_desc_"&amp;表1[[#This Row],[key值]]</f>
        <v>item_desc_w005</v>
      </c>
      <c r="D135" s="22">
        <v>12</v>
      </c>
      <c r="E135" s="22">
        <v>-1</v>
      </c>
      <c r="F135" s="22">
        <v>0</v>
      </c>
      <c r="G135" s="28">
        <v>5</v>
      </c>
      <c r="H135" s="22">
        <v>0</v>
      </c>
      <c r="I135" s="22" t="s">
        <v>295</v>
      </c>
      <c r="J135" s="22">
        <v>0</v>
      </c>
      <c r="K135" s="22">
        <v>0</v>
      </c>
      <c r="L135" s="24" t="str">
        <f>VLOOKUP(表1[[#This Row],[物品名称]],[1]!表1[#Data],2,FALSE)</f>
        <v>熔岩巨炮</v>
      </c>
      <c r="M135" s="24" t="str">
        <f>VLOOKUP(表1[[#This Row],[物品描述]],[1]!表1[#Data],2,FALSE)</f>
        <v>使用后直接获得【熔岩巨炮】皮肤，如果已拥有皮肤，则兑换成40个【熔岩巨炮】碎片</v>
      </c>
    </row>
    <row r="136" spans="1:13" ht="17.25" x14ac:dyDescent="0.35">
      <c r="A136" s="22" t="s">
        <v>238</v>
      </c>
      <c r="B136" s="23" t="str">
        <f>"item_name_"&amp;表1[[#This Row],[key值]]</f>
        <v>item_name_w006</v>
      </c>
      <c r="C136" s="23" t="str">
        <f>"item_desc_"&amp;表1[[#This Row],[key值]]</f>
        <v>item_desc_w006</v>
      </c>
      <c r="D136" s="22">
        <v>12</v>
      </c>
      <c r="E136" s="22">
        <v>-1</v>
      </c>
      <c r="F136" s="22">
        <v>0</v>
      </c>
      <c r="G136" s="28">
        <v>6</v>
      </c>
      <c r="H136" s="22">
        <v>0</v>
      </c>
      <c r="I136" s="22" t="s">
        <v>296</v>
      </c>
      <c r="J136" s="22">
        <v>0</v>
      </c>
      <c r="K136" s="22">
        <v>0</v>
      </c>
      <c r="L136" s="24" t="str">
        <f>VLOOKUP(表1[[#This Row],[物品名称]],[1]!表1[#Data],2,FALSE)</f>
        <v>蛤蟆文太</v>
      </c>
      <c r="M136" s="24" t="str">
        <f>VLOOKUP(表1[[#This Row],[物品描述]],[1]!表1[#Data],2,FALSE)</f>
        <v>使用后直接获得【蛤蟆文太】皮肤，如果已拥有皮肤，则兑换成90个【蛤蟆文太】碎片</v>
      </c>
    </row>
    <row r="137" spans="1:13" ht="17.25" x14ac:dyDescent="0.35">
      <c r="A137" s="22" t="s">
        <v>239</v>
      </c>
      <c r="B137" s="23" t="str">
        <f>"item_name_"&amp;表1[[#This Row],[key值]]</f>
        <v>item_name_w007</v>
      </c>
      <c r="C137" s="23" t="str">
        <f>"item_desc_"&amp;表1[[#This Row],[key值]]</f>
        <v>item_desc_w007</v>
      </c>
      <c r="D137" s="22">
        <v>12</v>
      </c>
      <c r="E137" s="22">
        <v>-1</v>
      </c>
      <c r="F137" s="22">
        <v>0</v>
      </c>
      <c r="G137" s="28">
        <v>7</v>
      </c>
      <c r="H137" s="22">
        <v>0</v>
      </c>
      <c r="I137" s="22" t="s">
        <v>297</v>
      </c>
      <c r="J137" s="22">
        <v>0</v>
      </c>
      <c r="K137" s="22">
        <v>0</v>
      </c>
      <c r="L137" s="24" t="str">
        <f>VLOOKUP(表1[[#This Row],[物品名称]],[1]!表1[#Data],2,FALSE)</f>
        <v>星舰·黎明</v>
      </c>
      <c r="M137" s="24" t="str">
        <f>VLOOKUP(表1[[#This Row],[物品描述]],[1]!表1[#Data],2,FALSE)</f>
        <v>使用后直接获得【星舰·黎明】皮肤，如果已拥有皮肤，则兑换成100个【星舰·黎明】碎片</v>
      </c>
    </row>
    <row r="138" spans="1:13" ht="17.25" x14ac:dyDescent="0.35">
      <c r="A138" s="22" t="s">
        <v>240</v>
      </c>
      <c r="B138" s="23" t="str">
        <f>"item_name_"&amp;表1[[#This Row],[key值]]</f>
        <v>item_name_w008</v>
      </c>
      <c r="C138" s="23" t="str">
        <f>"item_desc_"&amp;表1[[#This Row],[key值]]</f>
        <v>item_desc_w008</v>
      </c>
      <c r="D138" s="22">
        <v>12</v>
      </c>
      <c r="E138" s="22">
        <v>-1</v>
      </c>
      <c r="F138" s="22">
        <v>0</v>
      </c>
      <c r="G138" s="28">
        <v>8</v>
      </c>
      <c r="H138" s="22">
        <v>0</v>
      </c>
      <c r="I138" s="22" t="s">
        <v>298</v>
      </c>
      <c r="J138" s="22">
        <v>0</v>
      </c>
      <c r="K138" s="22">
        <v>0</v>
      </c>
      <c r="L138" s="24" t="str">
        <f>VLOOKUP(表1[[#This Row],[物品名称]],[1]!表1[#Data],2,FALSE)</f>
        <v>泡泡膛</v>
      </c>
      <c r="M138" s="24" t="str">
        <f>VLOOKUP(表1[[#This Row],[物品描述]],[1]!表1[#Data],2,FALSE)</f>
        <v>使用后直接获得【泡泡膛】皮肤，如果已拥有皮肤，则兑换成100个【泡泡膛】碎片</v>
      </c>
    </row>
    <row r="139" spans="1:13" ht="17.25" x14ac:dyDescent="0.35">
      <c r="A139" s="22" t="s">
        <v>241</v>
      </c>
      <c r="B139" s="23" t="str">
        <f>"item_name_"&amp;表1[[#This Row],[key值]]</f>
        <v>item_name_w009</v>
      </c>
      <c r="C139" s="23" t="str">
        <f>"item_desc_"&amp;表1[[#This Row],[key值]]</f>
        <v>item_desc_w009</v>
      </c>
      <c r="D139" s="22">
        <v>12</v>
      </c>
      <c r="E139" s="22">
        <v>-1</v>
      </c>
      <c r="F139" s="22">
        <v>0</v>
      </c>
      <c r="G139" s="28">
        <v>9</v>
      </c>
      <c r="H139" s="22">
        <v>0</v>
      </c>
      <c r="I139" s="22" t="s">
        <v>299</v>
      </c>
      <c r="J139" s="22">
        <v>0</v>
      </c>
      <c r="K139" s="22">
        <v>0</v>
      </c>
      <c r="L139" s="24" t="str">
        <f>VLOOKUP(表1[[#This Row],[物品名称]],[1]!表1[#Data],2,FALSE)</f>
        <v>黄金加特林</v>
      </c>
      <c r="M139" s="24" t="str">
        <f>VLOOKUP(表1[[#This Row],[物品描述]],[1]!表1[#Data],2,FALSE)</f>
        <v>使用后直接获得【黄金加特林】皮肤，如果已拥有皮肤，则兑换成90个【黄金加特林】碎片</v>
      </c>
    </row>
    <row r="140" spans="1:13" ht="17.25" x14ac:dyDescent="0.35">
      <c r="A140" s="22" t="s">
        <v>242</v>
      </c>
      <c r="B140" s="23" t="str">
        <f>"item_name_"&amp;表1[[#This Row],[key值]]</f>
        <v>item_name_w010</v>
      </c>
      <c r="C140" s="23" t="str">
        <f>"item_desc_"&amp;表1[[#This Row],[key值]]</f>
        <v>item_desc_w010</v>
      </c>
      <c r="D140" s="22">
        <v>12</v>
      </c>
      <c r="E140" s="22">
        <v>-1</v>
      </c>
      <c r="F140" s="22">
        <v>0</v>
      </c>
      <c r="G140" s="28">
        <v>10</v>
      </c>
      <c r="H140" s="22">
        <v>0</v>
      </c>
      <c r="I140" s="22" t="s">
        <v>300</v>
      </c>
      <c r="J140" s="22">
        <v>0</v>
      </c>
      <c r="K140" s="22">
        <v>0</v>
      </c>
      <c r="L140" s="24" t="str">
        <f>VLOOKUP(表1[[#This Row],[物品名称]],[1]!表1[#Data],2,FALSE)</f>
        <v>星舰·孤狼</v>
      </c>
      <c r="M140" s="24" t="str">
        <f>VLOOKUP(表1[[#This Row],[物品描述]],[1]!表1[#Data],2,FALSE)</f>
        <v>使用后直接获得【星舰·孤狼】皮肤，如果已拥有皮肤，则兑换成80个【星舰·孤狼】碎片</v>
      </c>
    </row>
    <row r="141" spans="1:13" ht="17.25" x14ac:dyDescent="0.35">
      <c r="A141" s="22" t="s">
        <v>243</v>
      </c>
      <c r="B141" s="23" t="str">
        <f>"item_name_"&amp;表1[[#This Row],[key值]]</f>
        <v>item_name_w011</v>
      </c>
      <c r="C141" s="23" t="str">
        <f>"item_desc_"&amp;表1[[#This Row],[key值]]</f>
        <v>item_desc_w011</v>
      </c>
      <c r="D141" s="22">
        <v>12</v>
      </c>
      <c r="E141" s="22">
        <v>-1</v>
      </c>
      <c r="F141" s="22">
        <v>0</v>
      </c>
      <c r="G141" s="28">
        <v>11</v>
      </c>
      <c r="H141" s="22">
        <v>0</v>
      </c>
      <c r="I141" s="22" t="s">
        <v>301</v>
      </c>
      <c r="J141" s="22">
        <v>0</v>
      </c>
      <c r="K141" s="22">
        <v>0</v>
      </c>
      <c r="L141" s="24" t="str">
        <f>VLOOKUP(表1[[#This Row],[物品名称]],[1]!表1[#Data],2,FALSE)</f>
        <v>电玩精英</v>
      </c>
      <c r="M141" s="24" t="str">
        <f>VLOOKUP(表1[[#This Row],[物品描述]],[1]!表1[#Data],2,FALSE)</f>
        <v>使用后直接获得【电玩精英】皮肤，如果已拥有皮肤，则兑换成100个【电玩精英】碎片</v>
      </c>
    </row>
    <row r="142" spans="1:13" ht="17.25" x14ac:dyDescent="0.35">
      <c r="A142" s="22" t="s">
        <v>244</v>
      </c>
      <c r="B142" s="23" t="str">
        <f>"item_name_"&amp;表1[[#This Row],[key值]]</f>
        <v>item_name_w012</v>
      </c>
      <c r="C142" s="23" t="str">
        <f>"item_desc_"&amp;表1[[#This Row],[key值]]</f>
        <v>item_desc_w012</v>
      </c>
      <c r="D142" s="22">
        <v>12</v>
      </c>
      <c r="E142" s="22">
        <v>-1</v>
      </c>
      <c r="F142" s="22">
        <v>0</v>
      </c>
      <c r="G142" s="28">
        <v>12</v>
      </c>
      <c r="H142" s="22">
        <v>0</v>
      </c>
      <c r="I142" s="22" t="s">
        <v>302</v>
      </c>
      <c r="J142" s="22">
        <v>0</v>
      </c>
      <c r="K142" s="22">
        <v>0</v>
      </c>
      <c r="L142" s="24" t="str">
        <f>VLOOKUP(表1[[#This Row],[物品名称]],[1]!表1[#Data],2,FALSE)</f>
        <v>霜之哀伤</v>
      </c>
      <c r="M142" s="24" t="str">
        <f>VLOOKUP(表1[[#This Row],[物品描述]],[1]!表1[#Data],2,FALSE)</f>
        <v>使用后直接获得【霜之哀伤】皮肤，如果已拥有皮肤，则兑换成70个【霜之哀伤】碎片</v>
      </c>
    </row>
    <row r="143" spans="1:13" ht="17.25" x14ac:dyDescent="0.35">
      <c r="A143" s="22" t="s">
        <v>245</v>
      </c>
      <c r="B143" s="23" t="str">
        <f>"item_name_"&amp;表1[[#This Row],[key值]]</f>
        <v>item_name_w013</v>
      </c>
      <c r="C143" s="23" t="str">
        <f>"item_desc_"&amp;表1[[#This Row],[key值]]</f>
        <v>item_desc_w013</v>
      </c>
      <c r="D143" s="22">
        <v>12</v>
      </c>
      <c r="E143" s="22">
        <v>-1</v>
      </c>
      <c r="F143" s="22">
        <v>0</v>
      </c>
      <c r="G143" s="28">
        <v>13</v>
      </c>
      <c r="H143" s="22">
        <v>0</v>
      </c>
      <c r="I143" s="22" t="s">
        <v>303</v>
      </c>
      <c r="J143" s="22">
        <v>0</v>
      </c>
      <c r="K143" s="22">
        <v>0</v>
      </c>
      <c r="L143" s="24" t="str">
        <f>VLOOKUP(表1[[#This Row],[物品名称]],[1]!表1[#Data],2,FALSE)</f>
        <v>赤炎女神的诅咒</v>
      </c>
      <c r="M143" s="24" t="str">
        <f>VLOOKUP(表1[[#This Row],[物品描述]],[1]!表1[#Data],2,FALSE)</f>
        <v>使用后直接获得【赤炎女神的诅咒】皮肤，如果已拥有皮肤，则兑换成120个【赤炎女神的诅咒】碎片</v>
      </c>
    </row>
    <row r="144" spans="1:13" ht="17.25" x14ac:dyDescent="0.35">
      <c r="A144" s="22" t="s">
        <v>246</v>
      </c>
      <c r="B144" s="23" t="str">
        <f>"item_name_"&amp;表1[[#This Row],[key值]]</f>
        <v>item_name_w014</v>
      </c>
      <c r="C144" s="23" t="str">
        <f>"item_desc_"&amp;表1[[#This Row],[key值]]</f>
        <v>item_desc_w014</v>
      </c>
      <c r="D144" s="22">
        <v>12</v>
      </c>
      <c r="E144" s="22">
        <v>-1</v>
      </c>
      <c r="F144" s="22">
        <v>0</v>
      </c>
      <c r="G144" s="28">
        <v>14</v>
      </c>
      <c r="H144" s="22">
        <v>0</v>
      </c>
      <c r="I144" s="22" t="s">
        <v>311</v>
      </c>
      <c r="J144" s="22">
        <v>0</v>
      </c>
      <c r="K144" s="22">
        <v>0</v>
      </c>
      <c r="L144" s="24" t="str">
        <f>VLOOKUP(表1[[#This Row],[物品名称]],[1]!表1[#Data],2,FALSE)</f>
        <v>月亮兔【中秋限定】</v>
      </c>
      <c r="M144" s="24" t="str">
        <f>VLOOKUP(表1[[#This Row],[物品描述]],[1]!表1[#Data],2,FALSE)</f>
        <v>中秋活动产出，使用后直接获得【月亮兔】皮肤，如果已拥有皮肤，则兑换成150个【月光发射器】碎片</v>
      </c>
    </row>
    <row r="145" spans="1:13" ht="17.25" x14ac:dyDescent="0.35">
      <c r="A145" s="22" t="s">
        <v>247</v>
      </c>
      <c r="B145" s="23" t="str">
        <f>"item_name_"&amp;表1[[#This Row],[key值]]</f>
        <v>item_name_w015</v>
      </c>
      <c r="C145" s="23" t="str">
        <f>"item_desc_"&amp;表1[[#This Row],[key值]]</f>
        <v>item_desc_w015</v>
      </c>
      <c r="D145" s="22">
        <v>12</v>
      </c>
      <c r="E145" s="22">
        <v>-1</v>
      </c>
      <c r="F145" s="22">
        <v>0</v>
      </c>
      <c r="G145" s="28">
        <v>15</v>
      </c>
      <c r="H145" s="22">
        <v>0</v>
      </c>
      <c r="I145" s="22" t="s">
        <v>304</v>
      </c>
      <c r="J145" s="22">
        <v>0</v>
      </c>
      <c r="K145" s="22">
        <v>0</v>
      </c>
      <c r="L145" s="24" t="str">
        <f>VLOOKUP(表1[[#This Row],[物品名称]],[1]!表1[#Data],2,FALSE)</f>
        <v>歼20战机【国庆限定】</v>
      </c>
      <c r="M145" s="24" t="str">
        <f>VLOOKUP(表1[[#This Row],[物品描述]],[1]!表1[#Data],2,FALSE)</f>
        <v>国庆活动产出，使用后直接获得【歼20战机】皮肤，如果已拥有皮肤，则兑换成150个【歼20战机】碎片</v>
      </c>
    </row>
    <row r="146" spans="1:13" ht="17.25" x14ac:dyDescent="0.35">
      <c r="A146" s="22" t="s">
        <v>248</v>
      </c>
      <c r="B146" s="23" t="str">
        <f>"item_name_"&amp;表1[[#This Row],[key值]]</f>
        <v>item_name_w501</v>
      </c>
      <c r="C146" s="23" t="str">
        <f>"item_desc_"&amp;表1[[#This Row],[key值]]</f>
        <v>item_desc_w501</v>
      </c>
      <c r="D146" s="22">
        <v>13</v>
      </c>
      <c r="E146" s="22">
        <v>-1</v>
      </c>
      <c r="F146" s="22">
        <v>5</v>
      </c>
      <c r="G146" s="22">
        <v>0</v>
      </c>
      <c r="H146" s="22">
        <v>0</v>
      </c>
      <c r="I146" s="22" t="s">
        <v>291</v>
      </c>
      <c r="J146" s="22">
        <v>0</v>
      </c>
      <c r="K146" s="22">
        <v>0</v>
      </c>
      <c r="L146" s="24" t="str">
        <f>VLOOKUP(表1[[#This Row],[物品名称]],[1]!表1[#Data],2,FALSE)</f>
        <v>火炮碎片</v>
      </c>
      <c r="M146" s="24" t="str">
        <f>VLOOKUP(表1[[#This Row],[物品描述]],[1]!表1[#Data],2,FALSE)</f>
        <v>火炮碎片，在皮肤升星时使用</v>
      </c>
    </row>
    <row r="147" spans="1:13" ht="17.25" x14ac:dyDescent="0.35">
      <c r="A147" s="22" t="s">
        <v>249</v>
      </c>
      <c r="B147" s="23" t="str">
        <f>"item_name_"&amp;表1[[#This Row],[key值]]</f>
        <v>item_name_w502</v>
      </c>
      <c r="C147" s="23" t="str">
        <f>"item_desc_"&amp;表1[[#This Row],[key值]]</f>
        <v>item_desc_w502</v>
      </c>
      <c r="D147" s="22">
        <v>13</v>
      </c>
      <c r="E147" s="22">
        <v>-1</v>
      </c>
      <c r="F147" s="22">
        <v>5</v>
      </c>
      <c r="G147" s="22">
        <v>0</v>
      </c>
      <c r="H147" s="22">
        <v>0</v>
      </c>
      <c r="I147" s="22" t="s">
        <v>292</v>
      </c>
      <c r="J147" s="22">
        <v>0</v>
      </c>
      <c r="K147" s="22">
        <v>0</v>
      </c>
      <c r="L147" s="24" t="str">
        <f>VLOOKUP(表1[[#This Row],[物品名称]],[1]!表1[#Data],2,FALSE)</f>
        <v>恶魔之血碎片</v>
      </c>
      <c r="M147" s="24" t="str">
        <f>VLOOKUP(表1[[#This Row],[物品描述]],[1]!表1[#Data],2,FALSE)</f>
        <v>恶魔之血碎片，在皮肤升星时使用</v>
      </c>
    </row>
    <row r="148" spans="1:13" ht="17.25" x14ac:dyDescent="0.35">
      <c r="A148" s="22" t="s">
        <v>250</v>
      </c>
      <c r="B148" s="23" t="str">
        <f>"item_name_"&amp;表1[[#This Row],[key值]]</f>
        <v>item_name_w503</v>
      </c>
      <c r="C148" s="23" t="str">
        <f>"item_desc_"&amp;表1[[#This Row],[key值]]</f>
        <v>item_desc_w503</v>
      </c>
      <c r="D148" s="22">
        <v>13</v>
      </c>
      <c r="E148" s="22">
        <v>-1</v>
      </c>
      <c r="F148" s="22">
        <v>5</v>
      </c>
      <c r="G148" s="22">
        <v>0</v>
      </c>
      <c r="H148" s="22">
        <v>0</v>
      </c>
      <c r="I148" s="22" t="s">
        <v>293</v>
      </c>
      <c r="J148" s="22">
        <v>0</v>
      </c>
      <c r="K148" s="22">
        <v>0</v>
      </c>
      <c r="L148" s="24" t="str">
        <f>VLOOKUP(表1[[#This Row],[物品名称]],[1]!表1[#Data],2,FALSE)</f>
        <v>天使之眼碎片</v>
      </c>
      <c r="M148" s="24" t="str">
        <f>VLOOKUP(表1[[#This Row],[物品描述]],[1]!表1[#Data],2,FALSE)</f>
        <v>天使之眼碎片，在皮肤升星时使用</v>
      </c>
    </row>
    <row r="149" spans="1:13" ht="17.25" x14ac:dyDescent="0.35">
      <c r="A149" s="22" t="s">
        <v>251</v>
      </c>
      <c r="B149" s="23" t="str">
        <f>"item_name_"&amp;表1[[#This Row],[key值]]</f>
        <v>item_name_w504</v>
      </c>
      <c r="C149" s="23" t="str">
        <f>"item_desc_"&amp;表1[[#This Row],[key值]]</f>
        <v>item_desc_w504</v>
      </c>
      <c r="D149" s="22">
        <v>13</v>
      </c>
      <c r="E149" s="22">
        <v>-1</v>
      </c>
      <c r="F149" s="22">
        <v>5</v>
      </c>
      <c r="G149" s="22">
        <v>0</v>
      </c>
      <c r="H149" s="22">
        <v>0</v>
      </c>
      <c r="I149" s="22" t="s">
        <v>294</v>
      </c>
      <c r="J149" s="22">
        <v>0</v>
      </c>
      <c r="K149" s="22">
        <v>0</v>
      </c>
      <c r="L149" s="24" t="str">
        <f>VLOOKUP(表1[[#This Row],[物品名称]],[1]!表1[#Data],2,FALSE)</f>
        <v>GX770电磁炮碎片</v>
      </c>
      <c r="M149" s="24" t="str">
        <f>VLOOKUP(表1[[#This Row],[物品描述]],[1]!表1[#Data],2,FALSE)</f>
        <v>GX770电磁炮碎片，在皮肤升星时使用</v>
      </c>
    </row>
    <row r="150" spans="1:13" ht="17.25" x14ac:dyDescent="0.35">
      <c r="A150" s="22" t="s">
        <v>252</v>
      </c>
      <c r="B150" s="23" t="str">
        <f>"item_name_"&amp;表1[[#This Row],[key值]]</f>
        <v>item_name_w505</v>
      </c>
      <c r="C150" s="23" t="str">
        <f>"item_desc_"&amp;表1[[#This Row],[key值]]</f>
        <v>item_desc_w505</v>
      </c>
      <c r="D150" s="22">
        <v>13</v>
      </c>
      <c r="E150" s="22">
        <v>-1</v>
      </c>
      <c r="F150" s="22">
        <v>5</v>
      </c>
      <c r="G150" s="22">
        <v>0</v>
      </c>
      <c r="H150" s="22">
        <v>0</v>
      </c>
      <c r="I150" s="22" t="s">
        <v>295</v>
      </c>
      <c r="J150" s="22">
        <v>0</v>
      </c>
      <c r="K150" s="22">
        <v>0</v>
      </c>
      <c r="L150" s="24" t="str">
        <f>VLOOKUP(表1[[#This Row],[物品名称]],[1]!表1[#Data],2,FALSE)</f>
        <v>熔岩巨炮碎片</v>
      </c>
      <c r="M150" s="24" t="str">
        <f>VLOOKUP(表1[[#This Row],[物品描述]],[1]!表1[#Data],2,FALSE)</f>
        <v>熔岩巨炮碎片，在皮肤升星时使用</v>
      </c>
    </row>
    <row r="151" spans="1:13" ht="17.25" x14ac:dyDescent="0.35">
      <c r="A151" s="22" t="s">
        <v>253</v>
      </c>
      <c r="B151" s="23" t="str">
        <f>"item_name_"&amp;表1[[#This Row],[key值]]</f>
        <v>item_name_w506</v>
      </c>
      <c r="C151" s="23" t="str">
        <f>"item_desc_"&amp;表1[[#This Row],[key值]]</f>
        <v>item_desc_w506</v>
      </c>
      <c r="D151" s="22">
        <v>13</v>
      </c>
      <c r="E151" s="22">
        <v>-1</v>
      </c>
      <c r="F151" s="22">
        <v>5</v>
      </c>
      <c r="G151" s="22">
        <v>0</v>
      </c>
      <c r="H151" s="22">
        <v>0</v>
      </c>
      <c r="I151" s="22" t="s">
        <v>296</v>
      </c>
      <c r="J151" s="22">
        <v>0</v>
      </c>
      <c r="K151" s="22">
        <v>0</v>
      </c>
      <c r="L151" s="24" t="str">
        <f>VLOOKUP(表1[[#This Row],[物品名称]],[1]!表1[#Data],2,FALSE)</f>
        <v>蛤蟆文太碎片</v>
      </c>
      <c r="M151" s="24" t="str">
        <f>VLOOKUP(表1[[#This Row],[物品描述]],[1]!表1[#Data],2,FALSE)</f>
        <v>蛤蟆文太碎片，在皮肤升星时使用</v>
      </c>
    </row>
    <row r="152" spans="1:13" ht="17.25" x14ac:dyDescent="0.35">
      <c r="A152" s="22" t="s">
        <v>254</v>
      </c>
      <c r="B152" s="23" t="str">
        <f>"item_name_"&amp;表1[[#This Row],[key值]]</f>
        <v>item_name_w507</v>
      </c>
      <c r="C152" s="23" t="str">
        <f>"item_desc_"&amp;表1[[#This Row],[key值]]</f>
        <v>item_desc_w507</v>
      </c>
      <c r="D152" s="22">
        <v>13</v>
      </c>
      <c r="E152" s="22">
        <v>-1</v>
      </c>
      <c r="F152" s="22">
        <v>5</v>
      </c>
      <c r="G152" s="22">
        <v>0</v>
      </c>
      <c r="H152" s="22">
        <v>0</v>
      </c>
      <c r="I152" s="22" t="s">
        <v>297</v>
      </c>
      <c r="J152" s="22">
        <v>0</v>
      </c>
      <c r="K152" s="22">
        <v>0</v>
      </c>
      <c r="L152" s="24" t="str">
        <f>VLOOKUP(表1[[#This Row],[物品名称]],[1]!表1[#Data],2,FALSE)</f>
        <v>星舰·黎明碎片</v>
      </c>
      <c r="M152" s="24" t="str">
        <f>VLOOKUP(表1[[#This Row],[物品描述]],[1]!表1[#Data],2,FALSE)</f>
        <v>星舰·黎明碎片，在皮肤升星时使用</v>
      </c>
    </row>
    <row r="153" spans="1:13" ht="17.25" x14ac:dyDescent="0.35">
      <c r="A153" s="22" t="s">
        <v>255</v>
      </c>
      <c r="B153" s="23" t="str">
        <f>"item_name_"&amp;表1[[#This Row],[key值]]</f>
        <v>item_name_w508</v>
      </c>
      <c r="C153" s="23" t="str">
        <f>"item_desc_"&amp;表1[[#This Row],[key值]]</f>
        <v>item_desc_w508</v>
      </c>
      <c r="D153" s="22">
        <v>13</v>
      </c>
      <c r="E153" s="22">
        <v>-1</v>
      </c>
      <c r="F153" s="22">
        <v>5</v>
      </c>
      <c r="G153" s="22">
        <v>0</v>
      </c>
      <c r="H153" s="22">
        <v>0</v>
      </c>
      <c r="I153" s="22" t="s">
        <v>298</v>
      </c>
      <c r="J153" s="22">
        <v>0</v>
      </c>
      <c r="K153" s="22">
        <v>0</v>
      </c>
      <c r="L153" s="24" t="str">
        <f>VLOOKUP(表1[[#This Row],[物品名称]],[1]!表1[#Data],2,FALSE)</f>
        <v>泡泡膛碎片</v>
      </c>
      <c r="M153" s="24" t="str">
        <f>VLOOKUP(表1[[#This Row],[物品描述]],[1]!表1[#Data],2,FALSE)</f>
        <v>泡泡膛碎片，在皮肤升星时使用</v>
      </c>
    </row>
    <row r="154" spans="1:13" ht="17.25" x14ac:dyDescent="0.35">
      <c r="A154" s="22" t="s">
        <v>256</v>
      </c>
      <c r="B154" s="23" t="str">
        <f>"item_name_"&amp;表1[[#This Row],[key值]]</f>
        <v>item_name_w509</v>
      </c>
      <c r="C154" s="23" t="str">
        <f>"item_desc_"&amp;表1[[#This Row],[key值]]</f>
        <v>item_desc_w509</v>
      </c>
      <c r="D154" s="22">
        <v>13</v>
      </c>
      <c r="E154" s="22">
        <v>-1</v>
      </c>
      <c r="F154" s="22">
        <v>5</v>
      </c>
      <c r="G154" s="22">
        <v>0</v>
      </c>
      <c r="H154" s="22">
        <v>0</v>
      </c>
      <c r="I154" s="22" t="s">
        <v>299</v>
      </c>
      <c r="J154" s="22">
        <v>0</v>
      </c>
      <c r="K154" s="22">
        <v>0</v>
      </c>
      <c r="L154" s="24" t="str">
        <f>VLOOKUP(表1[[#This Row],[物品名称]],[1]!表1[#Data],2,FALSE)</f>
        <v>黄金加特林碎片</v>
      </c>
      <c r="M154" s="24" t="str">
        <f>VLOOKUP(表1[[#This Row],[物品描述]],[1]!表1[#Data],2,FALSE)</f>
        <v>黄金加特林碎片，在皮肤升星时使用</v>
      </c>
    </row>
    <row r="155" spans="1:13" ht="17.25" x14ac:dyDescent="0.35">
      <c r="A155" s="22" t="s">
        <v>257</v>
      </c>
      <c r="B155" s="23" t="str">
        <f>"item_name_"&amp;表1[[#This Row],[key值]]</f>
        <v>item_name_w510</v>
      </c>
      <c r="C155" s="23" t="str">
        <f>"item_desc_"&amp;表1[[#This Row],[key值]]</f>
        <v>item_desc_w510</v>
      </c>
      <c r="D155" s="22">
        <v>13</v>
      </c>
      <c r="E155" s="22">
        <v>-1</v>
      </c>
      <c r="F155" s="22">
        <v>5</v>
      </c>
      <c r="G155" s="22">
        <v>0</v>
      </c>
      <c r="H155" s="22">
        <v>0</v>
      </c>
      <c r="I155" s="22" t="s">
        <v>300</v>
      </c>
      <c r="J155" s="22">
        <v>0</v>
      </c>
      <c r="K155" s="22">
        <v>0</v>
      </c>
      <c r="L155" s="24" t="str">
        <f>VLOOKUP(表1[[#This Row],[物品名称]],[1]!表1[#Data],2,FALSE)</f>
        <v>星舰·孤狼碎片</v>
      </c>
      <c r="M155" s="24" t="str">
        <f>VLOOKUP(表1[[#This Row],[物品描述]],[1]!表1[#Data],2,FALSE)</f>
        <v>星舰·孤狼碎片，在皮肤升星时使用</v>
      </c>
    </row>
    <row r="156" spans="1:13" ht="17.25" x14ac:dyDescent="0.35">
      <c r="A156" s="22" t="s">
        <v>258</v>
      </c>
      <c r="B156" s="23" t="str">
        <f>"item_name_"&amp;表1[[#This Row],[key值]]</f>
        <v>item_name_w511</v>
      </c>
      <c r="C156" s="23" t="str">
        <f>"item_desc_"&amp;表1[[#This Row],[key值]]</f>
        <v>item_desc_w511</v>
      </c>
      <c r="D156" s="22">
        <v>13</v>
      </c>
      <c r="E156" s="22">
        <v>-1</v>
      </c>
      <c r="F156" s="22">
        <v>5</v>
      </c>
      <c r="G156" s="22">
        <v>0</v>
      </c>
      <c r="H156" s="22">
        <v>0</v>
      </c>
      <c r="I156" s="22" t="s">
        <v>301</v>
      </c>
      <c r="J156" s="22">
        <v>0</v>
      </c>
      <c r="K156" s="22">
        <v>0</v>
      </c>
      <c r="L156" s="24" t="str">
        <f>VLOOKUP(表1[[#This Row],[物品名称]],[1]!表1[#Data],2,FALSE)</f>
        <v>电玩精英碎片</v>
      </c>
      <c r="M156" s="24" t="str">
        <f>VLOOKUP(表1[[#This Row],[物品描述]],[1]!表1[#Data],2,FALSE)</f>
        <v>电玩精英碎片，在皮肤升星时使用</v>
      </c>
    </row>
    <row r="157" spans="1:13" ht="17.25" x14ac:dyDescent="0.35">
      <c r="A157" s="22" t="s">
        <v>259</v>
      </c>
      <c r="B157" s="23" t="str">
        <f>"item_name_"&amp;表1[[#This Row],[key值]]</f>
        <v>item_name_w512</v>
      </c>
      <c r="C157" s="23" t="str">
        <f>"item_desc_"&amp;表1[[#This Row],[key值]]</f>
        <v>item_desc_w512</v>
      </c>
      <c r="D157" s="22">
        <v>13</v>
      </c>
      <c r="E157" s="22">
        <v>-1</v>
      </c>
      <c r="F157" s="22">
        <v>5</v>
      </c>
      <c r="G157" s="22">
        <v>0</v>
      </c>
      <c r="H157" s="22">
        <v>0</v>
      </c>
      <c r="I157" s="22" t="s">
        <v>302</v>
      </c>
      <c r="J157" s="22">
        <v>0</v>
      </c>
      <c r="K157" s="22">
        <v>0</v>
      </c>
      <c r="L157" s="24" t="str">
        <f>VLOOKUP(表1[[#This Row],[物品名称]],[1]!表1[#Data],2,FALSE)</f>
        <v>霜之哀伤碎片</v>
      </c>
      <c r="M157" s="24" t="str">
        <f>VLOOKUP(表1[[#This Row],[物品描述]],[1]!表1[#Data],2,FALSE)</f>
        <v>霜之哀伤碎片，在皮肤升星时使用</v>
      </c>
    </row>
    <row r="158" spans="1:13" ht="17.25" x14ac:dyDescent="0.35">
      <c r="A158" s="22" t="s">
        <v>260</v>
      </c>
      <c r="B158" s="23" t="str">
        <f>"item_name_"&amp;表1[[#This Row],[key值]]</f>
        <v>item_name_w513</v>
      </c>
      <c r="C158" s="23" t="str">
        <f>"item_desc_"&amp;表1[[#This Row],[key值]]</f>
        <v>item_desc_w513</v>
      </c>
      <c r="D158" s="22">
        <v>13</v>
      </c>
      <c r="E158" s="22">
        <v>-1</v>
      </c>
      <c r="F158" s="22">
        <v>5</v>
      </c>
      <c r="G158" s="22">
        <v>0</v>
      </c>
      <c r="H158" s="22">
        <v>0</v>
      </c>
      <c r="I158" s="22" t="s">
        <v>303</v>
      </c>
      <c r="J158" s="22">
        <v>0</v>
      </c>
      <c r="K158" s="22">
        <v>0</v>
      </c>
      <c r="L158" s="24" t="str">
        <f>VLOOKUP(表1[[#This Row],[物品名称]],[1]!表1[#Data],2,FALSE)</f>
        <v>赤炎女神的诅咒碎片</v>
      </c>
      <c r="M158" s="24" t="str">
        <f>VLOOKUP(表1[[#This Row],[物品描述]],[1]!表1[#Data],2,FALSE)</f>
        <v>赤炎女神的诅咒碎片，在皮肤升星时使用</v>
      </c>
    </row>
    <row r="159" spans="1:13" ht="17.25" x14ac:dyDescent="0.35">
      <c r="A159" s="22" t="s">
        <v>261</v>
      </c>
      <c r="B159" s="23" t="str">
        <f>"item_name_"&amp;表1[[#This Row],[key值]]</f>
        <v>item_name_w514</v>
      </c>
      <c r="C159" s="23" t="str">
        <f>"item_desc_"&amp;表1[[#This Row],[key值]]</f>
        <v>item_desc_w514</v>
      </c>
      <c r="D159" s="22">
        <v>13</v>
      </c>
      <c r="E159" s="22">
        <v>-1</v>
      </c>
      <c r="F159" s="22">
        <v>5</v>
      </c>
      <c r="G159" s="22">
        <v>0</v>
      </c>
      <c r="H159" s="22">
        <v>0</v>
      </c>
      <c r="I159" s="22" t="s">
        <v>309</v>
      </c>
      <c r="J159" s="22">
        <v>0</v>
      </c>
      <c r="K159" s="22">
        <v>0</v>
      </c>
      <c r="L159" s="24" t="str">
        <f>VLOOKUP(表1[[#This Row],[物品名称]],[1]!表1[#Data],2,FALSE)</f>
        <v>月亮兔碎片</v>
      </c>
      <c r="M159" s="24" t="str">
        <f>VLOOKUP(表1[[#This Row],[物品描述]],[1]!表1[#Data],2,FALSE)</f>
        <v>月亮兔碎片，在皮肤升星时使用</v>
      </c>
    </row>
    <row r="160" spans="1:13" ht="17.25" x14ac:dyDescent="0.35">
      <c r="A160" s="22" t="s">
        <v>262</v>
      </c>
      <c r="B160" s="23" t="str">
        <f>"item_name_"&amp;表1[[#This Row],[key值]]</f>
        <v>item_name_w515</v>
      </c>
      <c r="C160" s="23" t="str">
        <f>"item_desc_"&amp;表1[[#This Row],[key值]]</f>
        <v>item_desc_w515</v>
      </c>
      <c r="D160" s="22">
        <v>13</v>
      </c>
      <c r="E160" s="22">
        <v>-1</v>
      </c>
      <c r="F160" s="22">
        <v>5</v>
      </c>
      <c r="G160" s="22">
        <v>0</v>
      </c>
      <c r="H160" s="22">
        <v>0</v>
      </c>
      <c r="I160" s="22" t="s">
        <v>310</v>
      </c>
      <c r="J160" s="22">
        <v>0</v>
      </c>
      <c r="K160" s="22">
        <v>0</v>
      </c>
      <c r="L160" s="24" t="str">
        <f>VLOOKUP(表1[[#This Row],[物品名称]],[1]!表1[#Data],2,FALSE)</f>
        <v>歼20战机碎片</v>
      </c>
      <c r="M160" s="24" t="str">
        <f>VLOOKUP(表1[[#This Row],[物品描述]],[1]!表1[#Data],2,FALSE)</f>
        <v>歼20战机碎片，在皮肤升星时使用</v>
      </c>
    </row>
  </sheetData>
  <phoneticPr fontId="5" type="noConversion"/>
  <dataValidations count="4">
    <dataValidation allowBlank="1" showInputMessage="1" showErrorMessage="1" prompt="1.金币_x000a_2.钻石_x000a_3.技能---需要放在背包内_x000a_4.碎片---需要放在背包内_x000a_5.代币_x000a_6.小游戏_x000a_7.礼包类--需要放在背包内_x000a_" sqref="D3" xr:uid="{00000000-0002-0000-0200-000000000000}"/>
    <dataValidation allowBlank="1" showInputMessage="1" showErrorMessage="1" promptTitle="使用物品时需要的最低等级" prompt="使用礼包类(7)道具时_x000a_需要进行等级判断" sqref="H3" xr:uid="{00000000-0002-0000-0200-000001000000}"/>
    <dataValidation allowBlank="1" showInputMessage="1" showErrorMessage="1" promptTitle="————————————————" prompt="0 无有效期_x000a_1   按时长，单位秒_x000a_2   按天数，都以每天的0点为临界点" sqref="J3" xr:uid="{614B8C26-C997-4133-B6FC-470B4A32ECF3}"/>
    <dataValidation allowBlank="1" showInputMessage="1" showErrorMessage="1" promptTitle="————————————————————————————————" prompt="如果有效期类型为1，则填写秒数_x000a_如果有效期类型为2，则填写天数（表示到第几天的23:59:59失效）_x000a_如果有效期类型为0，此字段无效" sqref="K3" xr:uid="{0D088FBE-FC78-4CBF-84E3-027E91667865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12"/>
  <sheetViews>
    <sheetView workbookViewId="0">
      <selection activeCell="D7" sqref="D7"/>
    </sheetView>
  </sheetViews>
  <sheetFormatPr defaultColWidth="9" defaultRowHeight="13.5" x14ac:dyDescent="0.15"/>
  <cols>
    <col min="1" max="1" width="15.125" customWidth="1"/>
    <col min="2" max="3" width="13.25" customWidth="1"/>
    <col min="4" max="4" width="15.125" customWidth="1"/>
  </cols>
  <sheetData>
    <row r="1" spans="1:4" ht="16.5" x14ac:dyDescent="0.3">
      <c r="A1" s="1" t="s">
        <v>31</v>
      </c>
      <c r="B1" s="1" t="s">
        <v>170</v>
      </c>
      <c r="C1" s="1" t="s">
        <v>171</v>
      </c>
      <c r="D1" s="1" t="s">
        <v>172</v>
      </c>
    </row>
    <row r="2" spans="1:4" ht="16.5" x14ac:dyDescent="0.15">
      <c r="A2" s="2" t="s">
        <v>14</v>
      </c>
      <c r="B2" s="2" t="s">
        <v>37</v>
      </c>
      <c r="C2" s="2" t="s">
        <v>37</v>
      </c>
      <c r="D2" s="2" t="s">
        <v>14</v>
      </c>
    </row>
    <row r="3" spans="1:4" ht="16.5" x14ac:dyDescent="0.3">
      <c r="A3" s="3" t="s">
        <v>173</v>
      </c>
      <c r="B3" s="3" t="s">
        <v>174</v>
      </c>
      <c r="C3" s="3" t="s">
        <v>175</v>
      </c>
      <c r="D3" s="3" t="s">
        <v>176</v>
      </c>
    </row>
    <row r="4" spans="1:4" x14ac:dyDescent="0.15">
      <c r="A4" t="s">
        <v>90</v>
      </c>
      <c r="B4">
        <v>10</v>
      </c>
      <c r="C4">
        <v>1000</v>
      </c>
      <c r="D4" t="s">
        <v>59</v>
      </c>
    </row>
    <row r="5" spans="1:4" x14ac:dyDescent="0.15">
      <c r="A5" t="s">
        <v>91</v>
      </c>
      <c r="B5">
        <v>30</v>
      </c>
      <c r="C5">
        <v>3000</v>
      </c>
      <c r="D5" t="s">
        <v>61</v>
      </c>
    </row>
    <row r="6" spans="1:4" x14ac:dyDescent="0.15">
      <c r="A6" t="s">
        <v>92</v>
      </c>
      <c r="B6">
        <v>100</v>
      </c>
      <c r="C6">
        <v>10000</v>
      </c>
      <c r="D6" t="s">
        <v>63</v>
      </c>
    </row>
    <row r="7" spans="1:4" x14ac:dyDescent="0.15">
      <c r="A7" s="29" t="s">
        <v>314</v>
      </c>
      <c r="B7">
        <v>10</v>
      </c>
      <c r="C7">
        <v>100</v>
      </c>
      <c r="D7" s="29" t="s">
        <v>315</v>
      </c>
    </row>
    <row r="8" spans="1:4" x14ac:dyDescent="0.15">
      <c r="A8" t="s">
        <v>180</v>
      </c>
      <c r="B8">
        <v>40</v>
      </c>
      <c r="C8">
        <v>5000</v>
      </c>
      <c r="D8" t="s">
        <v>179</v>
      </c>
    </row>
    <row r="9" spans="1:4" x14ac:dyDescent="0.15">
      <c r="A9" t="s">
        <v>97</v>
      </c>
      <c r="B9">
        <v>40</v>
      </c>
      <c r="C9">
        <v>5000</v>
      </c>
      <c r="D9" t="s">
        <v>179</v>
      </c>
    </row>
    <row r="10" spans="1:4" x14ac:dyDescent="0.15">
      <c r="A10" t="s">
        <v>98</v>
      </c>
      <c r="B10">
        <v>40</v>
      </c>
      <c r="C10">
        <v>5000</v>
      </c>
      <c r="D10" t="s">
        <v>179</v>
      </c>
    </row>
    <row r="11" spans="1:4" x14ac:dyDescent="0.15">
      <c r="A11" t="s">
        <v>99</v>
      </c>
      <c r="B11">
        <v>40</v>
      </c>
      <c r="C11">
        <v>5000</v>
      </c>
      <c r="D11" t="s">
        <v>179</v>
      </c>
    </row>
    <row r="12" spans="1:4" x14ac:dyDescent="0.15">
      <c r="A12" t="s">
        <v>100</v>
      </c>
      <c r="B12">
        <v>40</v>
      </c>
      <c r="C12">
        <v>5000</v>
      </c>
      <c r="D12" t="s">
        <v>179</v>
      </c>
    </row>
  </sheetData>
  <phoneticPr fontId="5" type="noConversion"/>
  <dataValidations count="1">
    <dataValidation allowBlank="1" showInputMessage="1" showErrorMessage="1" prompt="1.金币_x000a_2.钻石_x000a_3.技能---需要放在背包内_x000a_5.代币_x000a_6.小游戏_x000a_7.礼包类--需要放在背包内_x000a_" sqref="A3" xr:uid="{00000000-0002-0000-0300-000000000000}"/>
  </dataValidations>
  <pageMargins left="0.69930555555555596" right="0.69930555555555596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description</vt:lpstr>
      <vt:lpstr>itemtype_cfg</vt:lpstr>
      <vt:lpstr>item_cfg</vt:lpstr>
      <vt:lpstr>mix_cfg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2017-12-04T02:53:52Z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