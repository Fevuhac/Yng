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\"/>
    </mc:Choice>
  </mc:AlternateContent>
  <bookViews>
    <workbookView xWindow="0" yWindow="0" windowWidth="28695" windowHeight="13050" activeTab="1"/>
  </bookViews>
  <sheets>
    <sheet name="description" sheetId="1" r:id="rId1"/>
    <sheet name="loadingtips_cfg" sheetId="2" r:id="rId2"/>
  </sheets>
  <functionGroups builtInGroupCount="18"/>
  <externalReferences>
    <externalReference r:id="rId3"/>
  </externalReferences>
  <calcPr calcId="171027"/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11" i="2"/>
  <c r="E12" i="2"/>
  <c r="E13" i="2"/>
  <c r="E14" i="2"/>
</calcChain>
</file>

<file path=xl/sharedStrings.xml><?xml version="1.0" encoding="utf-8"?>
<sst xmlns="http://schemas.openxmlformats.org/spreadsheetml/2006/main" count="48" uniqueCount="39">
  <si>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</si>
  <si>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</si>
  <si>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</si>
  <si>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</si>
  <si>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</si>
  <si>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</si>
  <si>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</si>
  <si>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</si>
  <si>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</si>
  <si>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</si>
  <si>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</si>
  <si>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id_key</t>
  </si>
  <si>
    <t>res_name</t>
  </si>
  <si>
    <t>description</t>
  </si>
  <si>
    <t>level</t>
  </si>
  <si>
    <t>int</t>
  </si>
  <si>
    <t>string</t>
  </si>
  <si>
    <t>编号</t>
  </si>
  <si>
    <t>鱼种图片</t>
  </si>
  <si>
    <t>鱼种说明</t>
  </si>
  <si>
    <t>显示需要等级</t>
  </si>
  <si>
    <t>duanhuibiyu</t>
  </si>
  <si>
    <t>lanbaoshiyu</t>
  </si>
  <si>
    <t>xiaochouyu</t>
  </si>
  <si>
    <t>mingyunyu03</t>
    <phoneticPr fontId="7" type="noConversion"/>
  </si>
  <si>
    <t>loadingtips_desc_1</t>
  </si>
  <si>
    <t>loadingtips_desc_2</t>
  </si>
  <si>
    <t>loadingtips_desc_3</t>
  </si>
  <si>
    <t>loadingtips_desc_4</t>
  </si>
  <si>
    <t>loadingtips_desc_5</t>
  </si>
  <si>
    <t>loadingtips_desc_6</t>
  </si>
  <si>
    <t>loadingtips_desc_7</t>
  </si>
  <si>
    <t>loadingtips_desc_8</t>
  </si>
  <si>
    <t>loadingtips_desc_9</t>
  </si>
  <si>
    <t>loadingtips_desc_11</t>
  </si>
  <si>
    <t>列1</t>
  </si>
  <si>
    <t>unexport</t>
  </si>
  <si>
    <t>jingsehujing</t>
  </si>
  <si>
    <t>loadingtips_desc_10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</si>
</sst>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1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0"/>
      <color indexed="8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4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</cellStyleXfs>
  <cellXfs count="26">
    <xf numFmtId="0" fontId="0" fillId="0" borderId="0" xfId="0"/>
    <xf numFmtId="0" fontId="1" fillId="0" borderId="0" xfId="4" applyFont="1" applyFill="1" applyAlignment="1">
      <alignment horizontal="center" vertical="center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2" fillId="0" borderId="0" xfId="0" applyFont="1"/>
    <xf numFmtId="49" fontId="3" fillId="2" borderId="1" xfId="5" applyNumberFormat="1" applyFont="1" applyFill="1" applyBorder="1" applyAlignment="1">
      <alignment horizontal="center"/>
    </xf>
    <xf numFmtId="49" fontId="3" fillId="3" borderId="1" xfId="0" applyNumberFormat="1" applyFont="1" applyFill="1" applyBorder="1" applyAlignment="1">
      <alignment horizontal="center" vertical="center"/>
    </xf>
    <xf numFmtId="0" fontId="3" fillId="4" borderId="1" xfId="5" applyFont="1" applyFill="1" applyBorder="1" applyAlignment="1" applyProtection="1">
      <alignment horizontal="center"/>
    </xf>
    <xf numFmtId="0" fontId="4" fillId="0" borderId="0" xfId="5" applyAlignment="1"/>
    <xf numFmtId="49" fontId="3" fillId="3" borderId="3" xfId="5" applyNumberFormat="1" applyFont="1" applyFill="1" applyBorder="1" applyAlignment="1">
      <alignment horizontal="center" vertical="center"/>
    </xf>
    <xf numFmtId="0" fontId="3" fillId="5" borderId="2" xfId="5" applyNumberFormat="1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8" fillId="0" borderId="0" xfId="4" applyFont="1" applyFill="1" applyAlignment="1">
      <alignment horizontal="left" vertical="center"/>
    </xf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  <xf numFmtId="0" fontId="2" fillId="0" borderId="4" xfId="0" applyFont="1" applyBorder="1"/>
    <xf numFmtId="49" fontId="10" fillId="2" borderId="1" xfId="0" applyNumberFormat="1" applyFont="1" applyFill="1" applyBorder="1" applyAlignment="1">
      <alignment horizontal="center"/>
    </xf>
    <xf numFmtId="49" fontId="10" fillId="3" borderId="3" xfId="0" applyNumberFormat="1" applyFont="1" applyFill="1" applyBorder="1" applyAlignment="1">
      <alignment horizontal="center" vertical="center"/>
    </xf>
    <xf numFmtId="49" fontId="3" fillId="2" borderId="1" xfId="5" applyNumberFormat="1" applyFont="1" applyFill="1" applyBorder="1" applyAlignment="1">
      <alignment horizontal="right"/>
    </xf>
    <xf numFmtId="49" fontId="3" fillId="3" borderId="1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4" fillId="0" borderId="0" xfId="5" applyNumberFormat="1" applyAlignment="1"/>
    <xf numFmtId="0" fontId="4" fillId="0" borderId="0" xfId="5" applyNumberFormat="1" applyAlignment="1">
      <alignment vertical="top" wrapText="1"/>
    </xf>
    <xf numFmtId="0" fontId="4" fillId="0" borderId="0" xfId="5" applyNumberFormat="1" applyAlignment="1">
      <alignment vertical="top"/>
    </xf>
  </cellXfs>
  <cellStyles count="9">
    <cellStyle name="常规" xfId="0" builtinId="0"/>
    <cellStyle name="常规 2" xfId="5"/>
    <cellStyle name="常规 2 2" xfId="4"/>
    <cellStyle name="常规 2 2 2" xfId="1"/>
    <cellStyle name="常规 3" xfId="6"/>
    <cellStyle name="常规 3 2" xfId="2"/>
    <cellStyle name="常规 3 3" xfId="3"/>
    <cellStyle name="常规 4" xfId="7"/>
    <cellStyle name="常规 5" xfId="8"/>
  </cellStyles>
  <dxfs count="8"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family val="3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38100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A2D923D0-A845-4BB1-93C4-CD16B282F4DE}"/>
            </a:ext>
          </a:extLst>
        </xdr:cNvPr>
        <xdr:cNvSpPr/>
      </xdr:nvSpPr>
      <xdr:spPr>
        <a:xfrm>
          <a:off x="0" y="0"/>
          <a:ext cx="285750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string-字符串表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id="1" name="表1" displayName="表1" ref="A3:E14" totalsRowShown="0" dataDxfId="6" headerRowBorderDxfId="7" tableBorderDxfId="5">
  <autoFilter ref="A3:E14"/>
  <tableColumns count="5">
    <tableColumn id="1" name="编号" dataDxfId="4"/>
    <tableColumn id="2" name="鱼种图片" dataDxfId="3"/>
    <tableColumn id="3" name="鱼种说明" dataDxfId="2"/>
    <tableColumn id="4" name="显示需要等级" dataDxfId="1"/>
    <tableColumn id="5" name="列1" dataDxfId="0">
      <calculatedColumnFormula>VLOOKUP(表1[[#This Row],[鱼种说明]],[1]!表1[#Data],2,FALSE)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5"/>
  <sheetViews>
    <sheetView topLeftCell="A30" workbookViewId="0">
      <selection activeCell="A31" sqref="A31:B31"/>
    </sheetView>
  </sheetViews>
  <sheetFormatPr defaultColWidth="9" defaultRowHeight="13.5" x14ac:dyDescent="0.15"/>
  <cols>
    <col min="1" max="1" width="39.5" style="8" customWidth="1"/>
    <col min="2" max="2" width="99.5" style="8" customWidth="1"/>
    <col min="3" max="16384" width="9" style="8"/>
  </cols>
  <sheetData>
    <row r="1" spans="1:2" ht="16.5" x14ac:dyDescent="0.3">
      <c r="A1" s="5" t="s">
        <v>0</v>
      </c>
      <c r="B1" s="8" t="s">
        <v>1</v>
      </c>
    </row>
    <row r="2" spans="1:2" ht="16.5" x14ac:dyDescent="0.15">
      <c r="A2" s="9" t="s">
        <v>2</v>
      </c>
      <c r="B2" s="8" t="s">
        <v>3</v>
      </c>
    </row>
    <row r="3" spans="1:2" ht="16.5" x14ac:dyDescent="0.3">
      <c r="A3" s="7" t="s">
        <v>4</v>
      </c>
      <c r="B3" s="8" t="s">
        <v>5</v>
      </c>
    </row>
    <row r="4" spans="1:2" ht="16.5" x14ac:dyDescent="0.15">
      <c r="A4" s="10" t="s">
        <v>6</v>
      </c>
      <c r="B4" s="8" t="s">
        <v>7</v>
      </c>
    </row>
    <row r="6" spans="1:2" x14ac:dyDescent="0.15">
      <c r="A6" s="24" t="s">
        <v>8</v>
      </c>
      <c r="B6" s="25"/>
    </row>
    <row r="7" spans="1:2" x14ac:dyDescent="0.15">
      <c r="A7" s="25"/>
      <c r="B7" s="25"/>
    </row>
    <row r="8" spans="1:2" x14ac:dyDescent="0.15">
      <c r="A8" s="25"/>
      <c r="B8" s="25"/>
    </row>
    <row r="9" spans="1:2" x14ac:dyDescent="0.15">
      <c r="A9" s="25"/>
      <c r="B9" s="25"/>
    </row>
    <row r="10" spans="1:2" x14ac:dyDescent="0.15">
      <c r="A10" s="25"/>
      <c r="B10" s="25"/>
    </row>
    <row r="11" spans="1:2" x14ac:dyDescent="0.15">
      <c r="A11" s="25"/>
      <c r="B11" s="25"/>
    </row>
    <row r="12" spans="1:2" x14ac:dyDescent="0.15">
      <c r="A12" s="25"/>
      <c r="B12" s="25"/>
    </row>
    <row r="13" spans="1:2" x14ac:dyDescent="0.15">
      <c r="A13" s="25"/>
      <c r="B13" s="25"/>
    </row>
    <row r="14" spans="1:2" x14ac:dyDescent="0.15">
      <c r="A14" s="25"/>
      <c r="B14" s="25"/>
    </row>
    <row r="15" spans="1:2" x14ac:dyDescent="0.15">
      <c r="A15" s="25"/>
      <c r="B15" s="25"/>
    </row>
    <row r="16" spans="1:2" ht="13.15" customHeight="1" x14ac:dyDescent="0.15">
      <c r="A16" s="25"/>
      <c r="B16" s="25"/>
    </row>
    <row r="17" spans="1:2" ht="4.1500000000000004" customHeight="1" x14ac:dyDescent="0.15">
      <c r="A17" s="25"/>
      <c r="B17" s="25"/>
    </row>
    <row r="18" spans="1:2" hidden="1" x14ac:dyDescent="0.15">
      <c r="A18" s="25"/>
      <c r="B18" s="25"/>
    </row>
    <row r="19" spans="1:2" hidden="1" x14ac:dyDescent="0.15">
      <c r="A19" s="25"/>
      <c r="B19" s="25"/>
    </row>
    <row r="20" spans="1:2" hidden="1" x14ac:dyDescent="0.15">
      <c r="A20" s="25"/>
      <c r="B20" s="25"/>
    </row>
    <row r="21" spans="1:2" ht="22.9" customHeight="1" x14ac:dyDescent="0.15">
      <c r="A21" s="25"/>
      <c r="B21" s="25"/>
    </row>
    <row r="22" spans="1:2" ht="45" customHeight="1" x14ac:dyDescent="0.15">
      <c r="A22" s="25"/>
      <c r="B22" s="25"/>
    </row>
    <row r="23" spans="1:2" ht="51" hidden="1" customHeight="1" x14ac:dyDescent="0.15">
      <c r="A23" s="25"/>
      <c r="B23" s="25"/>
    </row>
    <row r="24" spans="1:2" x14ac:dyDescent="0.15">
      <c r="A24" s="23" t="s">
        <v>9</v>
      </c>
      <c r="B24" s="23"/>
    </row>
    <row r="25" spans="1:2" x14ac:dyDescent="0.15">
      <c r="A25" s="23" t="s">
        <v>10</v>
      </c>
      <c r="B25" s="23"/>
    </row>
    <row r="26" spans="1:2" x14ac:dyDescent="0.15">
      <c r="A26" s="23"/>
      <c r="B26" s="23"/>
    </row>
    <row r="27" spans="1:2" x14ac:dyDescent="0.15">
      <c r="A27" s="23"/>
      <c r="B27" s="23"/>
    </row>
    <row r="28" spans="1:2" x14ac:dyDescent="0.15">
      <c r="A28" s="23"/>
      <c r="B28" s="23"/>
    </row>
    <row r="29" spans="1:2" x14ac:dyDescent="0.15">
      <c r="A29" s="23"/>
      <c r="B29" s="23"/>
    </row>
    <row r="30" spans="1:2" x14ac:dyDescent="0.15">
      <c r="A30" s="23"/>
      <c r="B30" s="23"/>
    </row>
    <row r="31" spans="1:2" x14ac:dyDescent="0.15">
      <c r="A31" s="23"/>
      <c r="B31" s="23"/>
    </row>
    <row r="32" spans="1:2" x14ac:dyDescent="0.15">
      <c r="A32" s="23"/>
      <c r="B32" s="23"/>
    </row>
    <row r="33" spans="1:2" x14ac:dyDescent="0.15">
      <c r="A33" s="23"/>
      <c r="B33" s="23"/>
    </row>
    <row r="34" spans="1:2" x14ac:dyDescent="0.15">
      <c r="A34" s="23"/>
      <c r="B34" s="23"/>
    </row>
    <row r="35" spans="1:2" x14ac:dyDescent="0.15">
      <c r="A35" s="23"/>
      <c r="B35" s="23"/>
    </row>
    <row r="36" spans="1:2" x14ac:dyDescent="0.15">
      <c r="A36" s="23"/>
      <c r="B36" s="23"/>
    </row>
    <row r="37" spans="1:2" x14ac:dyDescent="0.15">
      <c r="A37" s="23"/>
      <c r="B37" s="23"/>
    </row>
    <row r="38" spans="1:2" x14ac:dyDescent="0.15">
      <c r="A38" s="23"/>
      <c r="B38" s="23"/>
    </row>
    <row r="39" spans="1:2" x14ac:dyDescent="0.15">
      <c r="A39" s="23"/>
      <c r="B39" s="23"/>
    </row>
    <row r="40" spans="1:2" x14ac:dyDescent="0.15">
      <c r="A40" s="23"/>
      <c r="B40" s="23"/>
    </row>
    <row r="41" spans="1:2" x14ac:dyDescent="0.15">
      <c r="A41" s="23"/>
      <c r="B41" s="23"/>
    </row>
    <row r="42" spans="1:2" x14ac:dyDescent="0.15">
      <c r="A42" s="23"/>
      <c r="B42" s="23"/>
    </row>
    <row r="43" spans="1:2" x14ac:dyDescent="0.15">
      <c r="A43" s="23"/>
      <c r="B43" s="23"/>
    </row>
    <row r="44" spans="1:2" x14ac:dyDescent="0.15">
      <c r="A44" s="23"/>
      <c r="B44" s="23"/>
    </row>
    <row r="45" spans="1:2" x14ac:dyDescent="0.15">
      <c r="A45" s="23"/>
      <c r="B45" s="23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9"/>
  <sheetViews>
    <sheetView tabSelected="1" workbookViewId="0">
      <selection activeCell="E12" sqref="E12"/>
    </sheetView>
  </sheetViews>
  <sheetFormatPr defaultColWidth="9" defaultRowHeight="16.5" x14ac:dyDescent="0.3"/>
  <cols>
    <col min="1" max="1" width="16.5" style="4" customWidth="1"/>
    <col min="2" max="2" width="24.75" style="4" customWidth="1"/>
    <col min="3" max="3" width="19" style="4" bestFit="1" customWidth="1"/>
    <col min="4" max="4" width="16.5" style="4" customWidth="1"/>
    <col min="5" max="5" width="45" style="4" bestFit="1" customWidth="1"/>
    <col min="6" max="16384" width="9" style="4"/>
  </cols>
  <sheetData>
    <row r="1" spans="1:9" ht="17.25" x14ac:dyDescent="0.35">
      <c r="A1" s="20" t="s">
        <v>11</v>
      </c>
      <c r="B1" s="5" t="s">
        <v>12</v>
      </c>
      <c r="C1" s="5" t="s">
        <v>13</v>
      </c>
      <c r="D1" s="5" t="s">
        <v>14</v>
      </c>
      <c r="E1" s="18" t="s">
        <v>36</v>
      </c>
    </row>
    <row r="2" spans="1:9" x14ac:dyDescent="0.3">
      <c r="A2" s="21" t="s">
        <v>15</v>
      </c>
      <c r="B2" s="6" t="s">
        <v>16</v>
      </c>
      <c r="C2" s="6" t="s">
        <v>16</v>
      </c>
      <c r="D2" s="6" t="s">
        <v>15</v>
      </c>
      <c r="E2" s="19" t="s">
        <v>36</v>
      </c>
    </row>
    <row r="3" spans="1:9" x14ac:dyDescent="0.3">
      <c r="A3" s="22" t="s">
        <v>17</v>
      </c>
      <c r="B3" t="s">
        <v>18</v>
      </c>
      <c r="C3" t="s">
        <v>19</v>
      </c>
      <c r="D3" t="s">
        <v>20</v>
      </c>
      <c r="E3" s="17" t="s">
        <v>35</v>
      </c>
    </row>
    <row r="4" spans="1:9" s="1" customFormat="1" x14ac:dyDescent="0.15">
      <c r="A4" s="11">
        <v>1</v>
      </c>
      <c r="B4" s="11" t="s">
        <v>21</v>
      </c>
      <c r="C4" s="12" t="s">
        <v>25</v>
      </c>
      <c r="D4" s="11">
        <v>1</v>
      </c>
      <c r="E4" s="13" t="str">
        <f>VLOOKUP(表1[[#This Row],[鱼种说明]],[1]!表1[#Data],2,FALSE)</f>
        <v>小提示：BOSS必掉【钻石】</v>
      </c>
    </row>
    <row r="5" spans="1:9" s="1" customFormat="1" x14ac:dyDescent="0.15">
      <c r="A5" s="11">
        <v>2</v>
      </c>
      <c r="B5" s="11" t="s">
        <v>22</v>
      </c>
      <c r="C5" s="12" t="s">
        <v>26</v>
      </c>
      <c r="D5" s="11">
        <v>1</v>
      </c>
      <c r="E5" s="13" t="str">
        <f>VLOOKUP(表1[[#This Row],[鱼种说明]],[1]!表1[#Data],2,FALSE)</f>
        <v>小提示：使用【激光】、【核弹】破除BOSS护盾简单有效</v>
      </c>
    </row>
    <row r="6" spans="1:9" s="1" customFormat="1" x14ac:dyDescent="0.15">
      <c r="A6" s="11">
        <v>3</v>
      </c>
      <c r="B6" s="11" t="s">
        <v>23</v>
      </c>
      <c r="C6" s="12" t="s">
        <v>27</v>
      </c>
      <c r="D6" s="11">
        <v>1</v>
      </c>
      <c r="E6" s="14" t="str">
        <f>VLOOKUP(表1[[#This Row],[鱼种说明]],[1]!表1[#Data],2,FALSE)</f>
        <v>小提示：保卫女神排行榜每周日会重置</v>
      </c>
    </row>
    <row r="7" spans="1:9" s="2" customFormat="1" x14ac:dyDescent="0.3">
      <c r="A7" s="11">
        <v>4</v>
      </c>
      <c r="B7" s="11" t="s">
        <v>37</v>
      </c>
      <c r="C7" s="12" t="s">
        <v>28</v>
      </c>
      <c r="D7" s="11">
        <v>1</v>
      </c>
      <c r="E7" s="14" t="str">
        <f>VLOOKUP(表1[[#This Row],[鱼种说明]],[1]!表1[#Data],2,FALSE)</f>
        <v>小提示：【金色鱼】和【大盘鱼】都是奖金鱼，提供额外奖金</v>
      </c>
      <c r="F7" s="1"/>
      <c r="G7" s="1"/>
      <c r="H7" s="1"/>
      <c r="I7" s="1"/>
    </row>
    <row r="8" spans="1:9" s="2" customFormat="1" x14ac:dyDescent="0.3">
      <c r="A8" s="11">
        <v>5</v>
      </c>
      <c r="B8" s="11" t="s">
        <v>24</v>
      </c>
      <c r="C8" s="12" t="s">
        <v>29</v>
      </c>
      <c r="D8" s="11">
        <v>1</v>
      </c>
      <c r="E8" s="14" t="str">
        <f>VLOOKUP(表1[[#This Row],[鱼种说明]],[1]!表1[#Data],2,FALSE)</f>
        <v>小提示：水族馆根据所有鱼的总等级进行排名</v>
      </c>
      <c r="F8" s="1"/>
      <c r="G8" s="1"/>
      <c r="H8" s="1"/>
      <c r="I8" s="1"/>
    </row>
    <row r="9" spans="1:9" s="2" customFormat="1" x14ac:dyDescent="0.3">
      <c r="A9" s="11">
        <v>6</v>
      </c>
      <c r="B9" s="11" t="s">
        <v>21</v>
      </c>
      <c r="C9" s="12" t="s">
        <v>30</v>
      </c>
      <c r="D9" s="11">
        <v>1</v>
      </c>
      <c r="E9" s="14" t="str">
        <f>VLOOKUP(表1[[#This Row],[鱼种说明]],[1]!表1[#Data],2,FALSE)</f>
        <v>小提示：幸运大奖每天可免费抽取一次</v>
      </c>
      <c r="F9" s="1"/>
      <c r="G9" s="1"/>
      <c r="H9" s="1"/>
      <c r="I9" s="1"/>
    </row>
    <row r="10" spans="1:9" s="2" customFormat="1" x14ac:dyDescent="0.3">
      <c r="A10" s="11">
        <v>7</v>
      </c>
      <c r="B10" s="11" t="s">
        <v>22</v>
      </c>
      <c r="C10" s="12" t="s">
        <v>31</v>
      </c>
      <c r="D10" s="11">
        <v>1</v>
      </c>
      <c r="E10" s="14" t="str">
        <f>VLOOKUP(表1[[#This Row],[鱼种说明]],[1]!表1[#Data],2,FALSE)</f>
        <v>小提示：解锁女神表情后可与女神互动，互动还有奖励哦</v>
      </c>
      <c r="F10" s="1"/>
      <c r="G10" s="1"/>
      <c r="H10" s="1"/>
      <c r="I10" s="1"/>
    </row>
    <row r="11" spans="1:9" s="2" customFormat="1" x14ac:dyDescent="0.3">
      <c r="A11" s="11">
        <v>8</v>
      </c>
      <c r="B11" s="11" t="s">
        <v>23</v>
      </c>
      <c r="C11" s="12" t="s">
        <v>32</v>
      </c>
      <c r="D11" s="11">
        <v>1</v>
      </c>
      <c r="E11" s="14" t="str">
        <f>VLOOKUP(表1[[#This Row],[鱼种说明]],[1]!表1[#Data],2,FALSE)</f>
        <v>小提示：在任何地方捕鱼都可获得鱼碎片，可在水族馆升级鱼</v>
      </c>
      <c r="F11" s="1"/>
      <c r="G11" s="1"/>
      <c r="H11" s="1"/>
    </row>
    <row r="12" spans="1:9" s="2" customFormat="1" x14ac:dyDescent="0.3">
      <c r="A12" s="11">
        <v>9</v>
      </c>
      <c r="B12" s="11" t="s">
        <v>37</v>
      </c>
      <c r="C12" s="12" t="s">
        <v>33</v>
      </c>
      <c r="D12" s="11">
        <v>1</v>
      </c>
      <c r="E12" s="14" t="str">
        <f>VLOOKUP(表1[[#This Row],[鱼种说明]],[1]!表1[#Data],2,FALSE)</f>
        <v>小提示：【蛤蟆文太】皮肤作为大鱼克星，攻击小鱼非常的不划算</v>
      </c>
      <c r="F12" s="1"/>
      <c r="G12" s="1"/>
      <c r="H12" s="1"/>
    </row>
    <row r="13" spans="1:9" s="2" customFormat="1" x14ac:dyDescent="0.3">
      <c r="A13" s="11">
        <v>10</v>
      </c>
      <c r="B13" s="11" t="s">
        <v>24</v>
      </c>
      <c r="C13" s="12" t="s">
        <v>38</v>
      </c>
      <c r="D13" s="11">
        <v>1</v>
      </c>
      <c r="E13" s="15" t="str">
        <f>VLOOKUP(表1[[#This Row],[鱼种说明]],[1]!表1[#Data],2,FALSE)</f>
        <v>小提示：在【神秘海域】、【藏宝海湾】捕获奖金鱼和BOSS可掉落武器锻造材料</v>
      </c>
      <c r="F13" s="1"/>
      <c r="G13" s="1"/>
      <c r="H13" s="1"/>
    </row>
    <row r="14" spans="1:9" s="2" customFormat="1" x14ac:dyDescent="0.3">
      <c r="A14" s="11">
        <v>11</v>
      </c>
      <c r="B14" s="11" t="s">
        <v>21</v>
      </c>
      <c r="C14" s="12" t="s">
        <v>34</v>
      </c>
      <c r="D14" s="11">
        <v>1</v>
      </c>
      <c r="E14" s="16" t="str">
        <f>VLOOKUP(表1[[#This Row],[鱼种说明]],[1]!表1[#Data],2,FALSE)</f>
        <v>小提示：在鱼潮中召唤奖金鱼更加直接有效</v>
      </c>
      <c r="F14" s="1"/>
      <c r="G14" s="1"/>
      <c r="H14" s="1"/>
    </row>
    <row r="15" spans="1:9" s="2" customFormat="1" x14ac:dyDescent="0.3">
      <c r="A15"/>
      <c r="B15"/>
      <c r="C15"/>
      <c r="D15"/>
      <c r="E15" s="4"/>
      <c r="F15" s="1"/>
      <c r="G15" s="1"/>
      <c r="H15" s="1"/>
    </row>
    <row r="16" spans="1:9" s="2" customFormat="1" x14ac:dyDescent="0.3">
      <c r="A16"/>
      <c r="B16"/>
      <c r="C16"/>
      <c r="D16"/>
      <c r="E16" s="4"/>
      <c r="F16" s="1"/>
      <c r="G16" s="1"/>
      <c r="H16" s="1"/>
    </row>
    <row r="17" spans="1:9" s="2" customFormat="1" x14ac:dyDescent="0.3">
      <c r="A17"/>
      <c r="B17"/>
      <c r="C17"/>
      <c r="D17"/>
      <c r="E17" s="4"/>
      <c r="F17" s="1"/>
      <c r="G17" s="1"/>
      <c r="H17" s="1"/>
    </row>
    <row r="18" spans="1:9" s="2" customFormat="1" x14ac:dyDescent="0.3">
      <c r="A18"/>
      <c r="B18"/>
      <c r="C18"/>
      <c r="D18"/>
      <c r="E18" s="4"/>
      <c r="F18" s="1"/>
      <c r="G18" s="1"/>
      <c r="H18" s="1"/>
    </row>
    <row r="19" spans="1:9" s="3" customFormat="1" x14ac:dyDescent="0.3">
      <c r="A19"/>
      <c r="B19"/>
      <c r="C19"/>
      <c r="D19"/>
      <c r="E19" s="4"/>
      <c r="F19" s="1"/>
      <c r="G19" s="1"/>
      <c r="H19" s="1"/>
      <c r="I19" s="2"/>
    </row>
    <row r="20" spans="1:9" x14ac:dyDescent="0.3">
      <c r="A20"/>
      <c r="B20"/>
      <c r="C20"/>
      <c r="D20"/>
      <c r="E20"/>
      <c r="F20" s="1"/>
      <c r="G20" s="1"/>
      <c r="H20" s="1"/>
      <c r="I20" s="2"/>
    </row>
    <row r="21" spans="1:9" x14ac:dyDescent="0.3">
      <c r="A21"/>
      <c r="B21"/>
      <c r="C21"/>
      <c r="D21"/>
      <c r="E21"/>
      <c r="F21" s="1"/>
      <c r="G21" s="1"/>
      <c r="H21" s="1"/>
    </row>
    <row r="22" spans="1:9" x14ac:dyDescent="0.3">
      <c r="A22"/>
      <c r="B22"/>
      <c r="C22"/>
      <c r="D22"/>
      <c r="E22"/>
      <c r="F22" s="1"/>
      <c r="G22" s="1"/>
      <c r="H22" s="1"/>
    </row>
    <row r="23" spans="1:9" x14ac:dyDescent="0.3">
      <c r="A23"/>
      <c r="B23"/>
      <c r="C23"/>
      <c r="D23"/>
      <c r="E23"/>
      <c r="F23" s="1"/>
      <c r="G23" s="1"/>
      <c r="H23" s="1"/>
    </row>
    <row r="24" spans="1:9" x14ac:dyDescent="0.3">
      <c r="A24"/>
      <c r="B24"/>
      <c r="C24"/>
      <c r="D24"/>
      <c r="E24"/>
      <c r="F24" s="1"/>
      <c r="G24" s="1"/>
      <c r="H24" s="1"/>
    </row>
    <row r="25" spans="1:9" x14ac:dyDescent="0.3">
      <c r="E25"/>
      <c r="F25" s="1"/>
      <c r="G25" s="1"/>
      <c r="H25" s="1"/>
    </row>
    <row r="26" spans="1:9" x14ac:dyDescent="0.3">
      <c r="E26"/>
      <c r="F26" s="1"/>
      <c r="G26" s="1"/>
      <c r="H26" s="1"/>
    </row>
    <row r="27" spans="1:9" x14ac:dyDescent="0.3">
      <c r="E27"/>
      <c r="F27" s="1"/>
      <c r="G27" s="1"/>
      <c r="H27" s="1"/>
    </row>
    <row r="28" spans="1:9" x14ac:dyDescent="0.3">
      <c r="E28"/>
      <c r="F28" s="1"/>
      <c r="G28" s="1"/>
      <c r="H28" s="1"/>
    </row>
    <row r="29" spans="1:9" x14ac:dyDescent="0.3">
      <c r="E29"/>
    </row>
    <row r="30" spans="1:9" x14ac:dyDescent="0.3">
      <c r="E30"/>
    </row>
    <row r="31" spans="1:9" x14ac:dyDescent="0.3">
      <c r="E31"/>
    </row>
    <row r="32" spans="1:9" x14ac:dyDescent="0.3">
      <c r="E32"/>
    </row>
    <row r="33" spans="5:5" x14ac:dyDescent="0.3">
      <c r="E33"/>
    </row>
    <row r="34" spans="5:5" x14ac:dyDescent="0.3">
      <c r="E34"/>
    </row>
    <row r="35" spans="5:5" x14ac:dyDescent="0.3">
      <c r="E35"/>
    </row>
    <row r="36" spans="5:5" x14ac:dyDescent="0.3">
      <c r="E36"/>
    </row>
    <row r="37" spans="5:5" x14ac:dyDescent="0.3">
      <c r="E37"/>
    </row>
    <row r="38" spans="5:5" x14ac:dyDescent="0.3">
      <c r="E38"/>
    </row>
    <row r="39" spans="5:5" x14ac:dyDescent="0.3">
      <c r="E39"/>
    </row>
  </sheetData>
  <phoneticPr fontId="7" type="noConversion"/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loadingtips_cfg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2017-06-14T08:22:30Z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