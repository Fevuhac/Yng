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2" xr2:uid="{00000000-000D-0000-FFFF-FFFF00000000}"/>
  </bookViews>
  <sheets>
    <sheet name="description" sheetId="1" r:id="rId1"/>
    <sheet name="weapons_cfg" sheetId="2" r:id="rId2"/>
    <sheet name="upgrade_cfg" sheetId="4" r:id="rId3"/>
    <sheet name="star_cfg" sheetId="6" r:id="rId4"/>
  </sheets>
  <functionGroups builtInGroupCount="19"/>
  <externalReferences>
    <externalReference r:id="rId5"/>
    <externalReference r:id="rId6"/>
  </externalReferences>
  <calcPr calcId="171027"/>
</workbook>
</file>

<file path=xl/calcChain.xml><?xml version="1.0" encoding="utf-8"?>
<calcChain xmlns="http://schemas.openxmlformats.org/spreadsheetml/2006/main">
  <c r="K4" i="4" l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P4" i="6" l="1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F4" i="6" l="1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C160" i="6" l="1"/>
  <c r="C164" i="6"/>
  <c r="C168" i="6"/>
  <c r="C172" i="6"/>
  <c r="C161" i="6"/>
  <c r="C165" i="6"/>
  <c r="C169" i="6"/>
  <c r="C162" i="6"/>
  <c r="C166" i="6"/>
  <c r="C170" i="6"/>
  <c r="C163" i="6"/>
  <c r="C167" i="6"/>
  <c r="C171" i="6"/>
  <c r="C56" i="6"/>
  <c r="C60" i="6"/>
  <c r="C64" i="6"/>
  <c r="C68" i="6"/>
  <c r="C57" i="6"/>
  <c r="C61" i="6"/>
  <c r="C65" i="6"/>
  <c r="C58" i="6"/>
  <c r="C62" i="6"/>
  <c r="C66" i="6"/>
  <c r="C59" i="6"/>
  <c r="C63" i="6"/>
  <c r="C67" i="6"/>
  <c r="C4" i="6"/>
  <c r="C8" i="6"/>
  <c r="C12" i="6"/>
  <c r="C16" i="6"/>
  <c r="C5" i="6"/>
  <c r="C9" i="6"/>
  <c r="C13" i="6"/>
  <c r="C6" i="6"/>
  <c r="C10" i="6"/>
  <c r="C14" i="6"/>
  <c r="C7" i="6"/>
  <c r="C11" i="6"/>
  <c r="C15" i="6"/>
  <c r="C148" i="6"/>
  <c r="C152" i="6"/>
  <c r="C156" i="6"/>
  <c r="C149" i="6"/>
  <c r="C153" i="6"/>
  <c r="C157" i="6"/>
  <c r="C150" i="6"/>
  <c r="C154" i="6"/>
  <c r="C158" i="6"/>
  <c r="C147" i="6"/>
  <c r="C151" i="6"/>
  <c r="C155" i="6"/>
  <c r="C159" i="6"/>
  <c r="C96" i="6"/>
  <c r="C100" i="6"/>
  <c r="C104" i="6"/>
  <c r="C97" i="6"/>
  <c r="C101" i="6"/>
  <c r="C105" i="6"/>
  <c r="C98" i="6"/>
  <c r="C102" i="6"/>
  <c r="C106" i="6"/>
  <c r="C95" i="6"/>
  <c r="C99" i="6"/>
  <c r="C103" i="6"/>
  <c r="C107" i="6"/>
  <c r="C44" i="6"/>
  <c r="C48" i="6"/>
  <c r="C52" i="6"/>
  <c r="C45" i="6"/>
  <c r="C49" i="6"/>
  <c r="C53" i="6"/>
  <c r="C46" i="6"/>
  <c r="C50" i="6"/>
  <c r="C54" i="6"/>
  <c r="C43" i="6"/>
  <c r="C47" i="6"/>
  <c r="C51" i="6"/>
  <c r="C55" i="6"/>
  <c r="C176" i="6"/>
  <c r="C180" i="6"/>
  <c r="C184" i="6"/>
  <c r="C178" i="6"/>
  <c r="C173" i="6"/>
  <c r="C177" i="6"/>
  <c r="C181" i="6"/>
  <c r="C185" i="6"/>
  <c r="C174" i="6"/>
  <c r="C175" i="6"/>
  <c r="C179" i="6"/>
  <c r="C183" i="6"/>
  <c r="C182" i="6"/>
  <c r="C108" i="6"/>
  <c r="C112" i="6"/>
  <c r="C116" i="6"/>
  <c r="C120" i="6"/>
  <c r="C109" i="6"/>
  <c r="C113" i="6"/>
  <c r="C117" i="6"/>
  <c r="C110" i="6"/>
  <c r="C114" i="6"/>
  <c r="C118" i="6"/>
  <c r="C111" i="6"/>
  <c r="C115" i="6"/>
  <c r="C119" i="6"/>
  <c r="C188" i="6"/>
  <c r="C192" i="6"/>
  <c r="C196" i="6"/>
  <c r="C194" i="6"/>
  <c r="C189" i="6"/>
  <c r="C193" i="6"/>
  <c r="C197" i="6"/>
  <c r="C198" i="6"/>
  <c r="C186" i="6"/>
  <c r="C190" i="6"/>
  <c r="C187" i="6"/>
  <c r="C191" i="6"/>
  <c r="C195" i="6"/>
  <c r="C136" i="6"/>
  <c r="C140" i="6"/>
  <c r="C144" i="6"/>
  <c r="C137" i="6"/>
  <c r="C141" i="6"/>
  <c r="C145" i="6"/>
  <c r="C134" i="6"/>
  <c r="C138" i="6"/>
  <c r="C142" i="6"/>
  <c r="C146" i="6"/>
  <c r="C135" i="6"/>
  <c r="C139" i="6"/>
  <c r="C143" i="6"/>
  <c r="C84" i="6"/>
  <c r="C88" i="6"/>
  <c r="C92" i="6"/>
  <c r="C85" i="6"/>
  <c r="C89" i="6"/>
  <c r="C93" i="6"/>
  <c r="C82" i="6"/>
  <c r="C86" i="6"/>
  <c r="C90" i="6"/>
  <c r="C94" i="6"/>
  <c r="C83" i="6"/>
  <c r="C87" i="6"/>
  <c r="C91" i="6"/>
  <c r="C32" i="6"/>
  <c r="C36" i="6"/>
  <c r="C40" i="6"/>
  <c r="C33" i="6"/>
  <c r="C37" i="6"/>
  <c r="C41" i="6"/>
  <c r="C30" i="6"/>
  <c r="C34" i="6"/>
  <c r="C38" i="6"/>
  <c r="C42" i="6"/>
  <c r="C31" i="6"/>
  <c r="C35" i="6"/>
  <c r="C39" i="6"/>
  <c r="C124" i="6"/>
  <c r="C128" i="6"/>
  <c r="C132" i="6"/>
  <c r="C121" i="6"/>
  <c r="C125" i="6"/>
  <c r="C129" i="6"/>
  <c r="C133" i="6"/>
  <c r="C122" i="6"/>
  <c r="C126" i="6"/>
  <c r="C130" i="6"/>
  <c r="C123" i="6"/>
  <c r="C127" i="6"/>
  <c r="C131" i="6"/>
  <c r="C72" i="6"/>
  <c r="C76" i="6"/>
  <c r="C80" i="6"/>
  <c r="C69" i="6"/>
  <c r="C73" i="6"/>
  <c r="C77" i="6"/>
  <c r="C81" i="6"/>
  <c r="C70" i="6"/>
  <c r="C74" i="6"/>
  <c r="C78" i="6"/>
  <c r="C71" i="6"/>
  <c r="C75" i="6"/>
  <c r="C79" i="6"/>
  <c r="C20" i="6"/>
  <c r="C24" i="6"/>
  <c r="C28" i="6"/>
  <c r="C17" i="6"/>
  <c r="C21" i="6"/>
  <c r="C25" i="6"/>
  <c r="C29" i="6"/>
  <c r="C18" i="6"/>
  <c r="C22" i="6"/>
  <c r="C26" i="6"/>
  <c r="C19" i="6"/>
  <c r="C23" i="6"/>
  <c r="C27" i="6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A18" i="2" l="1"/>
  <c r="E18" i="2"/>
  <c r="D18" i="2"/>
  <c r="AA17" i="2" l="1"/>
  <c r="E17" i="2"/>
  <c r="D17" i="2"/>
  <c r="A18" i="6" l="1"/>
  <c r="A19" i="6"/>
  <c r="A20" i="6"/>
  <c r="A21" i="6"/>
  <c r="A22" i="6"/>
  <c r="A23" i="6"/>
  <c r="A36" i="6" s="1"/>
  <c r="A24" i="6"/>
  <c r="A25" i="6"/>
  <c r="A26" i="6"/>
  <c r="A27" i="6"/>
  <c r="A40" i="6" s="1"/>
  <c r="A28" i="6"/>
  <c r="A29" i="6"/>
  <c r="A17" i="6"/>
  <c r="A53" i="6" l="1"/>
  <c r="A49" i="6"/>
  <c r="A30" i="6"/>
  <c r="A32" i="6"/>
  <c r="A34" i="6"/>
  <c r="A38" i="6"/>
  <c r="A42" i="6"/>
  <c r="A31" i="6"/>
  <c r="A33" i="6"/>
  <c r="A35" i="6"/>
  <c r="A37" i="6"/>
  <c r="A39" i="6"/>
  <c r="A41" i="6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50" i="6" l="1"/>
  <c r="A54" i="6"/>
  <c r="A46" i="6"/>
  <c r="A55" i="6"/>
  <c r="A43" i="6"/>
  <c r="A52" i="6"/>
  <c r="A44" i="6"/>
  <c r="A51" i="6"/>
  <c r="A45" i="6"/>
  <c r="A62" i="6"/>
  <c r="A47" i="6"/>
  <c r="A66" i="6"/>
  <c r="A48" i="6"/>
  <c r="AA5" i="2"/>
  <c r="AA6" i="2"/>
  <c r="AA7" i="2"/>
  <c r="AA8" i="2"/>
  <c r="AA9" i="2"/>
  <c r="AA10" i="2"/>
  <c r="AA11" i="2"/>
  <c r="AA12" i="2"/>
  <c r="AA13" i="2"/>
  <c r="AA14" i="2"/>
  <c r="AA15" i="2"/>
  <c r="AA16" i="2"/>
  <c r="AA4" i="2"/>
  <c r="E16" i="2"/>
  <c r="D16" i="2"/>
  <c r="D15" i="2"/>
  <c r="E15" i="2"/>
  <c r="E13" i="2"/>
  <c r="D13" i="2"/>
  <c r="E14" i="2"/>
  <c r="D14" i="2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E12" i="2"/>
  <c r="D12" i="2"/>
  <c r="E11" i="2"/>
  <c r="D11" i="2"/>
  <c r="D4" i="2"/>
  <c r="D5" i="2"/>
  <c r="D6" i="2"/>
  <c r="D7" i="2"/>
  <c r="D8" i="2"/>
  <c r="D9" i="2"/>
  <c r="D10" i="2"/>
  <c r="E4" i="2"/>
  <c r="E5" i="2"/>
  <c r="E6" i="2"/>
  <c r="E7" i="2"/>
  <c r="E8" i="2"/>
  <c r="E9" i="2"/>
  <c r="E10" i="2"/>
  <c r="A61" i="6" l="1"/>
  <c r="A58" i="6"/>
  <c r="A68" i="6"/>
  <c r="A75" i="6"/>
  <c r="A57" i="6"/>
  <c r="A63" i="6"/>
  <c r="A60" i="6"/>
  <c r="A64" i="6"/>
  <c r="A56" i="6"/>
  <c r="A67" i="6"/>
  <c r="A79" i="6"/>
  <c r="A65" i="6"/>
  <c r="A59" i="6"/>
  <c r="A76" i="6" l="1"/>
  <c r="A81" i="6"/>
  <c r="A80" i="6"/>
  <c r="A73" i="6"/>
  <c r="A88" i="6"/>
  <c r="A74" i="6"/>
  <c r="A72" i="6"/>
  <c r="A92" i="6"/>
  <c r="A77" i="6"/>
  <c r="A69" i="6"/>
  <c r="A78" i="6"/>
  <c r="A70" i="6"/>
  <c r="A71" i="6"/>
  <c r="A85" i="6" l="1"/>
  <c r="A84" i="6"/>
  <c r="A91" i="6"/>
  <c r="A105" i="6"/>
  <c r="A86" i="6"/>
  <c r="A90" i="6"/>
  <c r="A101" i="6"/>
  <c r="A89" i="6"/>
  <c r="A83" i="6"/>
  <c r="A87" i="6"/>
  <c r="A94" i="6"/>
  <c r="A82" i="6"/>
  <c r="A93" i="6"/>
  <c r="A99" i="6" l="1"/>
  <c r="A103" i="6"/>
  <c r="A97" i="6"/>
  <c r="A106" i="6"/>
  <c r="A100" i="6"/>
  <c r="A114" i="6"/>
  <c r="A104" i="6"/>
  <c r="A107" i="6"/>
  <c r="A102" i="6"/>
  <c r="A118" i="6"/>
  <c r="A98" i="6"/>
  <c r="A95" i="6"/>
  <c r="A96" i="6"/>
  <c r="A115" i="6" l="1"/>
  <c r="A109" i="6"/>
  <c r="A111" i="6"/>
  <c r="A117" i="6"/>
  <c r="A110" i="6"/>
  <c r="A120" i="6"/>
  <c r="A119" i="6"/>
  <c r="A112" i="6"/>
  <c r="A108" i="6"/>
  <c r="A113" i="6"/>
  <c r="A116" i="6"/>
  <c r="A131" i="6"/>
  <c r="A127" i="6"/>
  <c r="A129" i="6" l="1"/>
  <c r="A125" i="6"/>
  <c r="A144" i="6"/>
  <c r="A123" i="6"/>
  <c r="A122" i="6"/>
  <c r="A140" i="6"/>
  <c r="A121" i="6"/>
  <c r="A133" i="6"/>
  <c r="A124" i="6"/>
  <c r="A126" i="6"/>
  <c r="A132" i="6"/>
  <c r="A130" i="6"/>
  <c r="A128" i="6"/>
  <c r="A141" i="6" l="1"/>
  <c r="A137" i="6"/>
  <c r="A153" i="6"/>
  <c r="A139" i="6"/>
  <c r="A136" i="6"/>
  <c r="A142" i="6"/>
  <c r="A145" i="6"/>
  <c r="A134" i="6"/>
  <c r="A138" i="6"/>
  <c r="A143" i="6"/>
  <c r="A146" i="6"/>
  <c r="A135" i="6"/>
  <c r="A157" i="6"/>
  <c r="A170" i="6" l="1"/>
  <c r="A156" i="6"/>
  <c r="A158" i="6"/>
  <c r="A152" i="6"/>
  <c r="A159" i="6"/>
  <c r="A154" i="6"/>
  <c r="A147" i="6"/>
  <c r="A149" i="6"/>
  <c r="A150" i="6"/>
  <c r="A148" i="6"/>
  <c r="A151" i="6"/>
  <c r="A155" i="6"/>
  <c r="A166" i="6"/>
  <c r="A179" i="6" l="1"/>
  <c r="A160" i="6"/>
  <c r="A165" i="6"/>
  <c r="A161" i="6"/>
  <c r="A172" i="6"/>
  <c r="A183" i="6"/>
  <c r="A164" i="6"/>
  <c r="A162" i="6"/>
  <c r="A167" i="6"/>
  <c r="A169" i="6"/>
  <c r="A168" i="6"/>
  <c r="A163" i="6"/>
  <c r="A171" i="6"/>
  <c r="A182" i="6" l="1"/>
  <c r="A192" i="6"/>
  <c r="A174" i="6"/>
  <c r="A176" i="6"/>
  <c r="A185" i="6"/>
  <c r="A184" i="6"/>
  <c r="A180" i="6"/>
  <c r="A196" i="6"/>
  <c r="A178" i="6"/>
  <c r="A177" i="6"/>
  <c r="A181" i="6"/>
  <c r="A175" i="6"/>
  <c r="A173" i="6"/>
  <c r="A188" i="6" l="1"/>
  <c r="A186" i="6"/>
  <c r="A194" i="6"/>
  <c r="A193" i="6"/>
  <c r="A187" i="6"/>
  <c r="A189" i="6"/>
  <c r="A195" i="6"/>
  <c r="A191" i="6"/>
  <c r="A198" i="6"/>
  <c r="A190" i="6"/>
  <c r="A197" i="6"/>
</calcChain>
</file>

<file path=xl/sharedStrings.xml><?xml version="1.0" encoding="utf-8"?>
<sst xmlns="http://schemas.openxmlformats.org/spreadsheetml/2006/main" count="409" uniqueCount="299">
  <si>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</si>
  <si>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</si>
  <si>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</si>
  <si>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</si>
  <si>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</si>
  <si>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</si>
  <si>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</si>
  <si>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</si>
  <si>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</si>
  <si>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</si>
  <si>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</si>
  <si>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</si>
  <si>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id</t>
  </si>
  <si>
    <t>unexport</t>
  </si>
  <si>
    <t>name</t>
  </si>
  <si>
    <t>description</t>
  </si>
  <si>
    <t>skin_index</t>
  </si>
  <si>
    <t>weapon_base</t>
  </si>
  <si>
    <t>nets</t>
  </si>
  <si>
    <t>emission_effects</t>
  </si>
  <si>
    <t>barrel</t>
  </si>
  <si>
    <t>sound</t>
  </si>
  <si>
    <t>sp</t>
  </si>
  <si>
    <t>bounce</t>
  </si>
  <si>
    <t>power</t>
  </si>
  <si>
    <t>interval</t>
  </si>
  <si>
    <t>bullet_count</t>
  </si>
  <si>
    <t>default</t>
  </si>
  <si>
    <t>price</t>
  </si>
  <si>
    <t>bullet_type</t>
  </si>
  <si>
    <t>scale</t>
  </si>
  <si>
    <t>key</t>
  </si>
  <si>
    <t>string</t>
  </si>
  <si>
    <t>int</t>
  </si>
  <si>
    <t>table</t>
  </si>
  <si>
    <t>皮肤名称</t>
  </si>
  <si>
    <t>皮肤说明</t>
  </si>
  <si>
    <t>列1</t>
  </si>
  <si>
    <t>列2</t>
  </si>
  <si>
    <t>皮肤ID</t>
  </si>
  <si>
    <t>基座</t>
  </si>
  <si>
    <t>渔网</t>
  </si>
  <si>
    <t>开炮火焰特效</t>
  </si>
  <si>
    <t>子弹延时生效</t>
  </si>
  <si>
    <t>子弹资源</t>
  </si>
  <si>
    <t>子弹速度</t>
  </si>
  <si>
    <t>反弹次数</t>
  </si>
  <si>
    <t>售价钻石</t>
  </si>
  <si>
    <t>子弹预制id</t>
  </si>
  <si>
    <t>战斗中缩放</t>
  </si>
  <si>
    <t>weapons_name_1</t>
  </si>
  <si>
    <t>weapons_desc_1</t>
  </si>
  <si>
    <t>pao1jizuo</t>
  </si>
  <si>
    <t>["sparks1", 9]</t>
  </si>
  <si>
    <t>zidanyellow</t>
  </si>
  <si>
    <t>[1,1,1]</t>
  </si>
  <si>
    <t>weapons_name_2</t>
  </si>
  <si>
    <t>weapons_desc_2</t>
  </si>
  <si>
    <t>jizuoemo</t>
  </si>
  <si>
    <t>["tianshikaipao", 9]</t>
  </si>
  <si>
    <t>fight_fire2</t>
  </si>
  <si>
    <t>zidanemo</t>
  </si>
  <si>
    <t>weapons_name_3</t>
  </si>
  <si>
    <t>weapons_desc_3</t>
  </si>
  <si>
    <t>tianshidizuo</t>
  </si>
  <si>
    <t>["emopaokaipao", 9]</t>
  </si>
  <si>
    <t>fight_fire3</t>
  </si>
  <si>
    <t>tianshizidan</t>
  </si>
  <si>
    <t>weapons_name_4</t>
  </si>
  <si>
    <t>weapons_desc_4</t>
  </si>
  <si>
    <t>jizuojixie</t>
  </si>
  <si>
    <t>["jixiekaipao", 5]</t>
  </si>
  <si>
    <t>fight_fire4</t>
  </si>
  <si>
    <t>zidanjixie</t>
  </si>
  <si>
    <t>weapons_name_5</t>
  </si>
  <si>
    <t>weapons_desc_5</t>
  </si>
  <si>
    <t>jizuoshuiqiang</t>
  </si>
  <si>
    <t>["shuiqiangkaipao", 9]</t>
  </si>
  <si>
    <t>fight_fire5</t>
  </si>
  <si>
    <t>zidanshuipao</t>
  </si>
  <si>
    <t>weapons_name_6</t>
  </si>
  <si>
    <t>weapons_desc_6</t>
  </si>
  <si>
    <t>jizuojinchan</t>
  </si>
  <si>
    <t>fight_fire6</t>
  </si>
  <si>
    <t>weapons_name_7</t>
  </si>
  <si>
    <t>weapons_desc_7</t>
  </si>
  <si>
    <t>jizuozj</t>
  </si>
  <si>
    <t>fight_fire7</t>
  </si>
  <si>
    <t>skinid</t>
  </si>
  <si>
    <t>weaponspct</t>
  </si>
  <si>
    <t>unlock_level</t>
  </si>
  <si>
    <t>needpower</t>
  </si>
  <si>
    <t>addpower</t>
  </si>
  <si>
    <t>炮倍率</t>
  </si>
  <si>
    <t>倍率</t>
  </si>
  <si>
    <t>炮几率</t>
  </si>
  <si>
    <t>解锁所需等级</t>
  </si>
  <si>
    <t>激光能量需求</t>
  </si>
  <si>
    <t>攻击增加激光能量</t>
  </si>
  <si>
    <t>解锁需要材料</t>
    <phoneticPr fontId="7" type="noConversion"/>
  </si>
  <si>
    <t>unlock_cost</t>
    <phoneticPr fontId="7" type="noConversion"/>
  </si>
  <si>
    <t>unlock_material</t>
    <phoneticPr fontId="7" type="noConversion"/>
  </si>
  <si>
    <t>[]</t>
    <phoneticPr fontId="7" type="noConversion"/>
  </si>
  <si>
    <t>成功率</t>
    <phoneticPr fontId="7" type="noConversion"/>
  </si>
  <si>
    <t>需要钻石</t>
    <phoneticPr fontId="7" type="noConversion"/>
  </si>
  <si>
    <t>[["i015",1],["i501",10],["i502",10],["i503",10]]</t>
    <phoneticPr fontId="7" type="noConversion"/>
  </si>
  <si>
    <t>float</t>
    <phoneticPr fontId="7" type="noConversion"/>
  </si>
  <si>
    <t>float</t>
    <phoneticPr fontId="7" type="noConversion"/>
  </si>
  <si>
    <t>float</t>
    <phoneticPr fontId="7" type="noConversion"/>
  </si>
  <si>
    <t>float</t>
    <phoneticPr fontId="7" type="noConversion"/>
  </si>
  <si>
    <t>[["i015",1],["i502",20],["i503",20],["i504",20]]</t>
    <phoneticPr fontId="7" type="noConversion"/>
  </si>
  <si>
    <t>[["i015",1],["i503",30],["i504",30],["i505",30]]</t>
    <phoneticPr fontId="7" type="noConversion"/>
  </si>
  <si>
    <t>[["i015",1],["i504",40],["i505",40],["i501",40]]</t>
    <phoneticPr fontId="7" type="noConversion"/>
  </si>
  <si>
    <t>[["i015",1],["i505",50],["i501",50],["i502",50]]</t>
    <phoneticPr fontId="7" type="noConversion"/>
  </si>
  <si>
    <t>zidanzj</t>
    <phoneticPr fontId="7" type="noConversion"/>
  </si>
  <si>
    <t>probation</t>
    <phoneticPr fontId="7" type="noConversion"/>
  </si>
  <si>
    <t>pricescale</t>
  </si>
  <si>
    <t>试用时间</t>
    <phoneticPr fontId="7" type="noConversion"/>
  </si>
  <si>
    <t>试用折扣比例</t>
    <phoneticPr fontId="7" type="noConversion"/>
  </si>
  <si>
    <t>int</t>
    <phoneticPr fontId="7" type="noConversion"/>
  </si>
  <si>
    <t>float</t>
    <phoneticPr fontId="7" type="noConversion"/>
  </si>
  <si>
    <t>皮肤音效</t>
    <phoneticPr fontId="7" type="noConversion"/>
  </si>
  <si>
    <t>子弹音效</t>
    <phoneticPr fontId="7" type="noConversion"/>
  </si>
  <si>
    <t>skinsound</t>
    <phoneticPr fontId="7" type="noConversion"/>
  </si>
  <si>
    <t>weapons_name_8</t>
    <phoneticPr fontId="7" type="noConversion"/>
  </si>
  <si>
    <t>weapons_desc_8</t>
    <phoneticPr fontId="7" type="noConversion"/>
  </si>
  <si>
    <t>特殊参数</t>
    <phoneticPr fontId="7" type="noConversion"/>
  </si>
  <si>
    <t>effectvalue</t>
    <phoneticPr fontId="7" type="noConversion"/>
  </si>
  <si>
    <t>float</t>
    <phoneticPr fontId="7" type="noConversion"/>
  </si>
  <si>
    <t>jizuoppt</t>
    <phoneticPr fontId="7" type="noConversion"/>
  </si>
  <si>
    <t>fight_fire8</t>
    <phoneticPr fontId="7" type="noConversion"/>
  </si>
  <si>
    <t>zidanppt</t>
    <phoneticPr fontId="7" type="noConversion"/>
  </si>
  <si>
    <t>progress</t>
  </si>
  <si>
    <t>time</t>
  </si>
  <si>
    <t>range</t>
  </si>
  <si>
    <t>time2</t>
  </si>
  <si>
    <t>温度上限</t>
  </si>
  <si>
    <t>过热冷却时间</t>
  </si>
  <si>
    <t>子弹偏移范围</t>
  </si>
  <si>
    <t>每降1点温度时间</t>
  </si>
  <si>
    <t>weapons_name_9</t>
    <phoneticPr fontId="7" type="noConversion"/>
  </si>
  <si>
    <t>weapons_desc_9</t>
    <phoneticPr fontId="7" type="noConversion"/>
  </si>
  <si>
    <t>fight_fire9</t>
    <phoneticPr fontId="7" type="noConversion"/>
  </si>
  <si>
    <t>fight_fire9</t>
    <phoneticPr fontId="7" type="noConversion"/>
  </si>
  <si>
    <t>jiatelin</t>
    <phoneticPr fontId="7" type="noConversion"/>
  </si>
  <si>
    <t>weapons_name_11</t>
    <phoneticPr fontId="7" type="noConversion"/>
  </si>
  <si>
    <t>weapons_desc_11</t>
    <phoneticPr fontId="7" type="noConversion"/>
  </si>
  <si>
    <t>["shuiqiangkaipao", 11]</t>
    <phoneticPr fontId="7" type="noConversion"/>
  </si>
  <si>
    <t>jiatelinzidan</t>
    <phoneticPr fontId="7" type="noConversion"/>
  </si>
  <si>
    <t>fight_fire1</t>
    <phoneticPr fontId="7" type="noConversion"/>
  </si>
  <si>
    <t>dwzidan_01,dwzidan_02,dwzidan_03,dwzidan_04,dwzidan_05</t>
    <phoneticPr fontId="7" type="noConversion"/>
  </si>
  <si>
    <t>weapons_name_10</t>
    <phoneticPr fontId="7" type="noConversion"/>
  </si>
  <si>
    <t>weapons_desc_10</t>
    <phoneticPr fontId="7" type="noConversion"/>
  </si>
  <si>
    <t>["shuiqiangkaipao", 9]</t>
    <phoneticPr fontId="7" type="noConversion"/>
  </si>
  <si>
    <t>dwdizuo</t>
    <phoneticPr fontId="7" type="noConversion"/>
  </si>
  <si>
    <t>12jizuo</t>
    <phoneticPr fontId="7" type="noConversion"/>
  </si>
  <si>
    <t>bullet_key</t>
    <phoneticPr fontId="7" type="noConversion"/>
  </si>
  <si>
    <t>["tianshikaipao", 9]</t>
    <phoneticPr fontId="7" type="noConversion"/>
  </si>
  <si>
    <t>weapons_name_12</t>
    <phoneticPr fontId="7" type="noConversion"/>
  </si>
  <si>
    <t>weapons_desc_12</t>
    <phoneticPr fontId="7" type="noConversion"/>
  </si>
  <si>
    <t>fight_fire10</t>
    <phoneticPr fontId="7" type="noConversion"/>
  </si>
  <si>
    <t>xjdizuo</t>
    <phoneticPr fontId="7" type="noConversion"/>
  </si>
  <si>
    <t>12zidan</t>
    <phoneticPr fontId="7" type="noConversion"/>
  </si>
  <si>
    <t>fight_fire12</t>
    <phoneticPr fontId="7" type="noConversion"/>
  </si>
  <si>
    <t>子弹个数</t>
    <phoneticPr fontId="7" type="noConversion"/>
  </si>
  <si>
    <t>子弹隔秒</t>
    <phoneticPr fontId="7" type="noConversion"/>
  </si>
  <si>
    <t>默认</t>
    <phoneticPr fontId="7" type="noConversion"/>
  </si>
  <si>
    <t>命中消耗奖励</t>
    <phoneticPr fontId="7" type="noConversion"/>
  </si>
  <si>
    <t>[1,2,1]</t>
    <phoneticPr fontId="7" type="noConversion"/>
  </si>
  <si>
    <t>weapons_name_13</t>
    <phoneticPr fontId="7" type="noConversion"/>
  </si>
  <si>
    <t>weapons_desc_13</t>
    <phoneticPr fontId="7" type="noConversion"/>
  </si>
  <si>
    <t>13zidan</t>
    <phoneticPr fontId="7" type="noConversion"/>
  </si>
  <si>
    <t>13dizuo</t>
    <phoneticPr fontId="7" type="noConversion"/>
  </si>
  <si>
    <t>fight_fire13</t>
    <phoneticPr fontId="7" type="noConversion"/>
  </si>
  <si>
    <t>fight_fire11,fight_fire111,fight_fire11,fight_fire111,fight_fire211</t>
    <phoneticPr fontId="7" type="noConversion"/>
  </si>
  <si>
    <t>列1</t>
    <phoneticPr fontId="7" type="noConversion"/>
  </si>
  <si>
    <t>icon</t>
    <phoneticPr fontId="7" type="noConversion"/>
  </si>
  <si>
    <t>string</t>
    <phoneticPr fontId="7" type="noConversion"/>
  </si>
  <si>
    <t>武器图标</t>
    <phoneticPr fontId="7" type="noConversion"/>
  </si>
  <si>
    <t>iconscale</t>
    <phoneticPr fontId="7" type="noConversion"/>
  </si>
  <si>
    <t>icon缩放</t>
    <phoneticPr fontId="7" type="noConversion"/>
  </si>
  <si>
    <t>int</t>
    <phoneticPr fontId="7" type="noConversion"/>
  </si>
  <si>
    <t>weaponlevel</t>
    <phoneticPr fontId="7" type="noConversion"/>
  </si>
  <si>
    <t>autofire</t>
    <phoneticPr fontId="7" type="noConversion"/>
  </si>
  <si>
    <t>自动开炮</t>
    <phoneticPr fontId="7" type="noConversion"/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</si>
  <si>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</si>
  <si>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</si>
  <si>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</si>
  <si>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</si>
  <si>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</si>
  <si>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</si>
  <si>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</si>
  <si>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</si>
  <si>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</si>
  <si>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</si>
  <si>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</si>
  <si>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</si>
  <si>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</si>
  <si>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charm</t>
    <phoneticPr fontId="7" type="noConversion"/>
  </si>
  <si>
    <t>魅力</t>
    <phoneticPr fontId="7" type="noConversion"/>
  </si>
  <si>
    <t>charm</t>
    <phoneticPr fontId="7" type="noConversion"/>
  </si>
  <si>
    <t>int</t>
    <phoneticPr fontId="7" type="noConversion"/>
  </si>
  <si>
    <t>魅力</t>
    <phoneticPr fontId="7" type="noConversion"/>
  </si>
  <si>
    <t>星级</t>
    <phoneticPr fontId="7" type="noConversion"/>
  </si>
  <si>
    <t>id</t>
    <phoneticPr fontId="7" type="noConversion"/>
  </si>
  <si>
    <t>获得特效</t>
    <phoneticPr fontId="7" type="noConversion"/>
  </si>
  <si>
    <t>奖金加成</t>
    <phoneticPr fontId="7" type="noConversion"/>
  </si>
  <si>
    <t>是否售卖</t>
    <phoneticPr fontId="7" type="noConversion"/>
  </si>
  <si>
    <t>int</t>
    <phoneticPr fontId="7" type="noConversion"/>
  </si>
  <si>
    <t>issale</t>
    <phoneticPr fontId="7" type="noConversion"/>
  </si>
  <si>
    <t>皮肤标签</t>
    <phoneticPr fontId="7" type="noConversion"/>
  </si>
  <si>
    <t>tag</t>
    <phoneticPr fontId="7" type="noConversion"/>
  </si>
  <si>
    <t>string</t>
    <phoneticPr fontId="7" type="noConversion"/>
  </si>
  <si>
    <t>最强王者限定</t>
    <phoneticPr fontId="7" type="noConversion"/>
  </si>
  <si>
    <t>七夕限定</t>
    <phoneticPr fontId="7" type="noConversion"/>
  </si>
  <si>
    <t>皮肤id</t>
    <phoneticPr fontId="7" type="noConversion"/>
  </si>
  <si>
    <t>star</t>
    <phoneticPr fontId="7" type="noConversion"/>
  </si>
  <si>
    <t>捕鱼积分加成</t>
    <phoneticPr fontId="7" type="noConversion"/>
  </si>
  <si>
    <t>升级经验加成</t>
    <phoneticPr fontId="7" type="noConversion"/>
  </si>
  <si>
    <t>rank</t>
    <phoneticPr fontId="7" type="noConversion"/>
  </si>
  <si>
    <t>fishing</t>
    <phoneticPr fontId="7" type="noConversion"/>
  </si>
  <si>
    <t>exp</t>
    <phoneticPr fontId="7" type="noConversion"/>
  </si>
  <si>
    <t>power</t>
    <phoneticPr fontId="7" type="noConversion"/>
  </si>
  <si>
    <t>score</t>
    <phoneticPr fontId="7" type="noConversion"/>
  </si>
  <si>
    <t>属性说明</t>
    <phoneticPr fontId="7" type="noConversion"/>
  </si>
  <si>
    <t>description</t>
    <phoneticPr fontId="7" type="noConversion"/>
  </si>
  <si>
    <t>int</t>
    <phoneticPr fontId="7" type="noConversion"/>
  </si>
  <si>
    <t>golden</t>
    <phoneticPr fontId="7" type="noConversion"/>
  </si>
  <si>
    <t>powerspeed</t>
    <phoneticPr fontId="7" type="noConversion"/>
  </si>
  <si>
    <t>激光威力加成</t>
    <phoneticPr fontId="7" type="noConversion"/>
  </si>
  <si>
    <t>激光累积速度加成</t>
    <phoneticPr fontId="7" type="noConversion"/>
  </si>
  <si>
    <t>bounce</t>
    <phoneticPr fontId="7" type="noConversion"/>
  </si>
  <si>
    <t>比赛分数提高</t>
    <phoneticPr fontId="7" type="noConversion"/>
  </si>
  <si>
    <t>比赛胜点提高</t>
    <phoneticPr fontId="7" type="noConversion"/>
  </si>
  <si>
    <t>命中加成</t>
    <phoneticPr fontId="7" type="noConversion"/>
  </si>
  <si>
    <t>pct</t>
    <phoneticPr fontId="7" type="noConversion"/>
  </si>
  <si>
    <t>兑换碎片</t>
    <phoneticPr fontId="7" type="noConversion"/>
  </si>
  <si>
    <t>piece</t>
    <phoneticPr fontId="7" type="noConversion"/>
  </si>
  <si>
    <t>上架时间</t>
    <phoneticPr fontId="7" type="noConversion"/>
  </si>
  <si>
    <t>下降时间</t>
    <phoneticPr fontId="7" type="noConversion"/>
  </si>
  <si>
    <t>starttime</t>
  </si>
  <si>
    <t>endtime</t>
  </si>
  <si>
    <t>[2,2,1]</t>
    <phoneticPr fontId="7" type="noConversion"/>
  </si>
  <si>
    <t>table</t>
    <phoneticPr fontId="7" type="noConversion"/>
  </si>
  <si>
    <t>需要金币</t>
    <phoneticPr fontId="7" type="noConversion"/>
  </si>
  <si>
    <t>weapons_name_14</t>
    <phoneticPr fontId="7" type="noConversion"/>
  </si>
  <si>
    <t>weapons_desc_14</t>
    <phoneticPr fontId="7" type="noConversion"/>
  </si>
  <si>
    <t>weapons_name_15</t>
    <phoneticPr fontId="7" type="noConversion"/>
  </si>
  <si>
    <t>weapons_desc_15</t>
    <phoneticPr fontId="7" type="noConversion"/>
  </si>
  <si>
    <t>14zidan</t>
    <phoneticPr fontId="7" type="noConversion"/>
  </si>
  <si>
    <t>15zidan</t>
    <phoneticPr fontId="7" type="noConversion"/>
  </si>
  <si>
    <t>qian20icon</t>
  </si>
  <si>
    <t>yueliangtuicon</t>
  </si>
  <si>
    <t>fight_fire14</t>
    <phoneticPr fontId="7" type="noConversion"/>
  </si>
  <si>
    <t>fight_fire15</t>
    <phoneticPr fontId="7" type="noConversion"/>
  </si>
  <si>
    <r>
      <t>unlock_</t>
    </r>
    <r>
      <rPr>
        <sz val="11"/>
        <color indexed="8"/>
        <rFont val="宋体"/>
        <family val="2"/>
        <charset val="134"/>
      </rPr>
      <t>rate</t>
    </r>
    <phoneticPr fontId="7" type="noConversion"/>
  </si>
  <si>
    <r>
      <t>t</t>
    </r>
    <r>
      <rPr>
        <sz val="11"/>
        <color indexed="8"/>
        <rFont val="宋体"/>
        <family val="2"/>
        <charset val="134"/>
      </rPr>
      <t>able</t>
    </r>
    <phoneticPr fontId="7" type="noConversion"/>
  </si>
  <si>
    <t>p14_dizuo</t>
  </si>
  <si>
    <t>qian20dizuo</t>
  </si>
  <si>
    <t>cost</t>
    <phoneticPr fontId="7" type="noConversion"/>
  </si>
  <si>
    <t>item</t>
    <phoneticPr fontId="7" type="noConversion"/>
  </si>
  <si>
    <t>effect</t>
    <phoneticPr fontId="7" type="noConversion"/>
  </si>
  <si>
    <t>反弹次数</t>
    <phoneticPr fontId="7" type="noConversion"/>
  </si>
  <si>
    <t>[["i015",1],["i501",100],["i502",100],["i503",100]]</t>
  </si>
  <si>
    <t>[["i015",1],["i502",150],["i503",150],["i504",150]]</t>
  </si>
  <si>
    <t>[["i015",1],["i503",200],["i504",200],["i505",200]]</t>
  </si>
  <si>
    <t>[["i015",1],["i504",250],["i505",250],["i501",250]]</t>
  </si>
  <si>
    <t>[["i015",1],["i505",300],["i501",300],["i502",300]]</t>
  </si>
  <si>
    <t>[["i015",1],["i501",350],["i502",350],["i503",350]]</t>
  </si>
  <si>
    <t>[["i015",1],["i502",400],["i503",400],["i504",400]]</t>
  </si>
  <si>
    <t>[["i015",1],["i503",500],["i504",500],["i505",500]]</t>
  </si>
  <si>
    <t>[["i015",1],["i504",600],["i505",600],["i501",600]]</t>
  </si>
  <si>
    <t>[["i015",1],["i505",800],["i501",800],["i502",800]]</t>
  </si>
  <si>
    <t>[["i015",1],["i501",1000],["i502",1000],["i503",1000]]</t>
  </si>
  <si>
    <t>[["i015",1],["i502",1500],["i503",1500],["i505",1500]]</t>
  </si>
  <si>
    <t>[["i015",2],["i502",1600],["i503",1600],["i505",1600]]</t>
  </si>
  <si>
    <t>[["i015",2],["i502",1700],["i503",1700],["i505",1700]]</t>
  </si>
  <si>
    <t>[["i015",2],["i502",1800],["i503",1800],["i505",1800]]</t>
  </si>
  <si>
    <t>[["i015",2],["i502",1900],["i503",1900],["i505",1900]]</t>
  </si>
  <si>
    <t>[["i015",2],["i502",2000],["i503",2000],["i505",2000]]</t>
  </si>
  <si>
    <t>[["i015",3],["i502",2200],["i503",2200],["i505",2200]]</t>
  </si>
  <si>
    <t>[["i015",3],["i502",2400],["i503",2400],["i505",2400]]</t>
  </si>
  <si>
    <t>[["i015",3],["i502",2600],["i503",2600],["i505",2600]]</t>
  </si>
  <si>
    <t>[["i015",3],["i502",2800],["i503",2800],["i505",2800]]</t>
  </si>
  <si>
    <t>[["i015",3],["i502",3000],["i503",3000],["i505",3000]]</t>
  </si>
  <si>
    <t>[["i015",3],["i502",3200],["i503",3200],["i505",3200]]</t>
  </si>
  <si>
    <t>[["i015",3],["i502",3500],["i503",3500],["i505",3500]]</t>
  </si>
  <si>
    <t>[["i015",4],["i502",4000],["i503",4000],["i505",4000]]</t>
  </si>
  <si>
    <t>[["i015",5],["i502",4500],["i503",4500],["i505",4500]]</t>
  </si>
  <si>
    <t>[["i015",6],["i502",5000],["i503",5000],["i505",5000]]</t>
  </si>
  <si>
    <t>[["i015",7],["i502",5500],["i503",5500],["i505",5500]]</t>
  </si>
  <si>
    <t>[["i015",8],["i502",6000],["i503",6000],["i505",6000]]</t>
  </si>
  <si>
    <t>[2.005,2,1]</t>
    <phoneticPr fontId="7" type="noConversion"/>
  </si>
  <si>
    <t>[1,2,2.01]</t>
    <phoneticPr fontId="7" type="noConversion"/>
  </si>
  <si>
    <t>[1.005,6,1]</t>
    <phoneticPr fontId="7" type="noConversion"/>
  </si>
  <si>
    <t>[1.005,1,1]</t>
    <phoneticPr fontId="7" type="noConversion"/>
  </si>
  <si>
    <t>[1,1,1]</t>
    <phoneticPr fontId="7" type="noConversion"/>
  </si>
  <si>
    <t>[5.0375,5,1]</t>
    <phoneticPr fontId="7" type="noConversion"/>
  </si>
  <si>
    <t>[3.0225,3,1]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</si>
</sst>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2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4" fillId="0" borderId="0">
      <alignment vertical="center"/>
    </xf>
  </cellStyleXfs>
  <cellXfs count="3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" fillId="3" borderId="3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3" fillId="0" borderId="0" xfId="0" applyFont="1" applyAlignment="1"/>
    <xf numFmtId="0" fontId="2" fillId="0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Fill="1" applyAlignment="1"/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10" fontId="0" fillId="0" borderId="0" xfId="0" applyNumberFormat="1" applyAlignment="1"/>
    <xf numFmtId="0" fontId="3" fillId="0" borderId="0" xfId="0" applyNumberFormat="1" applyFont="1" applyAlignment="1">
      <alignment vertical="center"/>
    </xf>
    <xf numFmtId="0" fontId="2" fillId="0" borderId="0" xfId="0" applyNumberFormat="1" applyFont="1" applyFill="1" applyAlignme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NumberFormat="1" applyFont="1" applyAlignment="1"/>
    <xf numFmtId="0" fontId="5" fillId="0" borderId="0" xfId="0" applyNumberFormat="1" applyFont="1" applyAlignment="1"/>
    <xf numFmtId="49" fontId="8" fillId="2" borderId="1" xfId="0" applyNumberFormat="1" applyFont="1" applyFill="1" applyBorder="1" applyAlignment="1">
      <alignment horizontal="right"/>
    </xf>
    <xf numFmtId="49" fontId="8" fillId="2" borderId="1" xfId="0" applyNumberFormat="1" applyFont="1" applyFill="1" applyBorder="1" applyAlignment="1">
      <alignment horizontal="center"/>
    </xf>
    <xf numFmtId="49" fontId="10" fillId="2" borderId="1" xfId="0" applyNumberFormat="1" applyFont="1" applyFill="1" applyBorder="1" applyAlignment="1">
      <alignment horizontal="center"/>
    </xf>
    <xf numFmtId="49" fontId="8" fillId="2" borderId="2" xfId="0" applyNumberFormat="1" applyFont="1" applyFill="1" applyBorder="1" applyAlignment="1">
      <alignment horizontal="center"/>
    </xf>
    <xf numFmtId="0" fontId="11" fillId="0" borderId="0" xfId="0" applyFont="1" applyAlignment="1"/>
    <xf numFmtId="49" fontId="8" fillId="3" borderId="3" xfId="0" applyNumberFormat="1" applyFont="1" applyFill="1" applyBorder="1" applyAlignment="1">
      <alignment horizontal="right" vertical="center"/>
    </xf>
    <xf numFmtId="49" fontId="8" fillId="3" borderId="3" xfId="0" applyNumberFormat="1" applyFont="1" applyFill="1" applyBorder="1" applyAlignment="1">
      <alignment horizontal="center" vertical="center"/>
    </xf>
    <xf numFmtId="49" fontId="10" fillId="3" borderId="3" xfId="0" applyNumberFormat="1" applyFont="1" applyFill="1" applyBorder="1" applyAlignment="1">
      <alignment horizontal="center" vertical="center"/>
    </xf>
    <xf numFmtId="0" fontId="12" fillId="0" borderId="0" xfId="0" applyFont="1" applyAlignment="1"/>
    <xf numFmtId="0" fontId="13" fillId="0" borderId="0" xfId="0" applyFont="1" applyAlignment="1"/>
    <xf numFmtId="0" fontId="14" fillId="0" borderId="0" xfId="0" applyFont="1" applyAlignment="1"/>
    <xf numFmtId="49" fontId="2" fillId="2" borderId="1" xfId="0" applyNumberFormat="1" applyFont="1" applyFill="1" applyBorder="1" applyAlignment="1">
      <alignment horizontal="right"/>
    </xf>
    <xf numFmtId="49" fontId="2" fillId="2" borderId="2" xfId="0" applyNumberFormat="1" applyFont="1" applyFill="1" applyBorder="1" applyAlignment="1">
      <alignment horizontal="center"/>
    </xf>
    <xf numFmtId="49" fontId="2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41">
    <dxf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color theme="1"/>
        <family val="2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宋体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2</xdr:row>
      <xdr:rowOff>38100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E0366D97-366F-4E36-9E0F-EFC80C78C8D8}"/>
            </a:ext>
          </a:extLst>
        </xdr:cNvPr>
        <xdr:cNvSpPr/>
      </xdr:nvSpPr>
      <xdr:spPr>
        <a:xfrm>
          <a:off x="9525" y="0"/>
          <a:ext cx="285750" cy="4667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2</xdr:row>
      <xdr:rowOff>38100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0002979B-AED9-4BF2-ACFB-67A8FB2C5347}"/>
            </a:ext>
          </a:extLst>
        </xdr:cNvPr>
        <xdr:cNvSpPr/>
      </xdr:nvSpPr>
      <xdr:spPr>
        <a:xfrm>
          <a:off x="9525" y="0"/>
          <a:ext cx="285750" cy="4667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5968;&#20540;&#25991;&#26723;\&#25429;&#40060;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翻译"/>
      <sheetName val="string-字符串表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斗框架"/>
      <sheetName val="武器"/>
      <sheetName val="女神"/>
      <sheetName val="女神鱼阵"/>
      <sheetName val="鱼种数据源"/>
      <sheetName val="路径"/>
      <sheetName val="鱼种分布"/>
      <sheetName val="接金币"/>
      <sheetName val="魅力系统"/>
      <sheetName val="Sheet2"/>
      <sheetName val="捕鱼战斗数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1">
          <cell r="E41">
            <v>0</v>
          </cell>
          <cell r="F41">
            <v>0</v>
          </cell>
        </row>
        <row r="42">
          <cell r="E42">
            <v>1</v>
          </cell>
          <cell r="F42">
            <v>0.5</v>
          </cell>
        </row>
        <row r="43">
          <cell r="E43">
            <v>2</v>
          </cell>
          <cell r="F43">
            <v>1</v>
          </cell>
        </row>
        <row r="44">
          <cell r="E44">
            <v>3</v>
          </cell>
          <cell r="F44">
            <v>1.5</v>
          </cell>
        </row>
        <row r="45">
          <cell r="E45">
            <v>4</v>
          </cell>
          <cell r="F45">
            <v>2</v>
          </cell>
        </row>
        <row r="46">
          <cell r="E46">
            <v>5</v>
          </cell>
          <cell r="F46">
            <v>2.5</v>
          </cell>
        </row>
        <row r="47">
          <cell r="E47">
            <v>6</v>
          </cell>
          <cell r="F47">
            <v>3</v>
          </cell>
        </row>
        <row r="48">
          <cell r="E48">
            <v>7</v>
          </cell>
          <cell r="F48">
            <v>3.5</v>
          </cell>
        </row>
        <row r="49">
          <cell r="E49">
            <v>8</v>
          </cell>
          <cell r="F49">
            <v>4</v>
          </cell>
        </row>
        <row r="50">
          <cell r="E50">
            <v>9</v>
          </cell>
          <cell r="F50">
            <v>5</v>
          </cell>
        </row>
        <row r="51">
          <cell r="E51">
            <v>10</v>
          </cell>
          <cell r="F51">
            <v>6</v>
          </cell>
        </row>
        <row r="52">
          <cell r="E52">
            <v>11</v>
          </cell>
          <cell r="F52">
            <v>7</v>
          </cell>
        </row>
        <row r="53">
          <cell r="E53">
            <v>12</v>
          </cell>
          <cell r="F53">
            <v>8</v>
          </cell>
        </row>
      </sheetData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AL18" totalsRowShown="0">
  <autoFilter ref="A3:AL18" xr:uid="{00000000-0009-0000-0100-000001000000}"/>
  <tableColumns count="38">
    <tableColumn id="1" xr3:uid="{00000000-0010-0000-0000-000001000000}" name="id" dataDxfId="40"/>
    <tableColumn id="3" xr3:uid="{00000000-0010-0000-0000-000003000000}" name="皮肤名称"/>
    <tableColumn id="4" xr3:uid="{00000000-0010-0000-0000-000004000000}" name="皮肤说明"/>
    <tableColumn id="5" xr3:uid="{00000000-0010-0000-0000-000005000000}" name="列1" dataDxfId="39">
      <calculatedColumnFormula>VLOOKUP(表1[[#This Row],[皮肤名称]],[1]!表1[#Data],2,FALSE)</calculatedColumnFormula>
    </tableColumn>
    <tableColumn id="6" xr3:uid="{00000000-0010-0000-0000-000006000000}" name="列2" dataDxfId="38">
      <calculatedColumnFormula>VLOOKUP(表1[[#This Row],[皮肤说明]],[1]!表1[#Data],2,FALSE)</calculatedColumnFormula>
    </tableColumn>
    <tableColumn id="7" xr3:uid="{00000000-0010-0000-0000-000007000000}" name="皮肤ID"/>
    <tableColumn id="8" xr3:uid="{00000000-0010-0000-0000-000008000000}" name="基座"/>
    <tableColumn id="9" xr3:uid="{00000000-0010-0000-0000-000009000000}" name="渔网"/>
    <tableColumn id="10" xr3:uid="{00000000-0010-0000-0000-00000A000000}" name="开炮火焰特效"/>
    <tableColumn id="11" xr3:uid="{00000000-0010-0000-0000-00000B000000}" name="子弹延时生效"/>
    <tableColumn id="12" xr3:uid="{00000000-0010-0000-0000-00000C000000}" name="子弹音效"/>
    <tableColumn id="25" xr3:uid="{00000000-0010-0000-0000-000019000000}" name="皮肤音效" dataDxfId="37"/>
    <tableColumn id="13" xr3:uid="{00000000-0010-0000-0000-00000D000000}" name="子弹资源"/>
    <tableColumn id="30" xr3:uid="{00000000-0010-0000-0000-00001E000000}" name="武器图标" dataDxfId="36"/>
    <tableColumn id="31" xr3:uid="{00000000-0010-0000-0000-00001F000000}" name="魅力" dataDxfId="35"/>
    <tableColumn id="14" xr3:uid="{00000000-0010-0000-0000-00000E000000}" name="子弹速度"/>
    <tableColumn id="15" xr3:uid="{00000000-0010-0000-0000-00000F000000}" name="反弹次数"/>
    <tableColumn id="2" xr3:uid="{00000000-0010-0000-0000-000002000000}" name="特殊参数" dataDxfId="34"/>
    <tableColumn id="16" xr3:uid="{00000000-0010-0000-0000-000010000000}" name="命中消耗奖励"/>
    <tableColumn id="17" xr3:uid="{00000000-0010-0000-0000-000011000000}" name="子弹隔秒"/>
    <tableColumn id="18" xr3:uid="{00000000-0010-0000-0000-000012000000}" name="子弹个数"/>
    <tableColumn id="19" xr3:uid="{00000000-0010-0000-0000-000013000000}" name="默认"/>
    <tableColumn id="34" xr3:uid="{00000000-0010-0000-0000-000022000000}" name="是否售卖" dataDxfId="33"/>
    <tableColumn id="20" xr3:uid="{00000000-0010-0000-0000-000014000000}" name="售价钻石"/>
    <tableColumn id="21" xr3:uid="{00000000-0010-0000-0000-000015000000}" name="子弹预制id"/>
    <tableColumn id="22" xr3:uid="{00000000-0010-0000-0000-000016000000}" name="战斗中缩放"/>
    <tableColumn id="32" xr3:uid="{00000000-0010-0000-0000-000020000000}" name="icon缩放" dataDxfId="32">
      <calculatedColumnFormula>表1[[#This Row],[战斗中缩放]]*0.3</calculatedColumnFormula>
    </tableColumn>
    <tableColumn id="23" xr3:uid="{00000000-0010-0000-0000-000017000000}" name="试用时间" dataDxfId="31"/>
    <tableColumn id="24" xr3:uid="{00000000-0010-0000-0000-000018000000}" name="试用折扣比例" dataDxfId="30"/>
    <tableColumn id="26" xr3:uid="{00000000-0010-0000-0000-00001A000000}" name="温度上限" dataDxfId="29"/>
    <tableColumn id="27" xr3:uid="{00000000-0010-0000-0000-00001B000000}" name="过热冷却时间" dataDxfId="28"/>
    <tableColumn id="28" xr3:uid="{00000000-0010-0000-0000-00001C000000}" name="子弹偏移范围" dataDxfId="27"/>
    <tableColumn id="29" xr3:uid="{00000000-0010-0000-0000-00001D000000}" name="每降1点温度时间" dataDxfId="26"/>
    <tableColumn id="33" xr3:uid="{00000000-0010-0000-0000-000021000000}" name="自动开炮" dataDxfId="25"/>
    <tableColumn id="35" xr3:uid="{00000000-0010-0000-0000-000023000000}" name="皮肤标签" dataDxfId="24"/>
    <tableColumn id="36" xr3:uid="{F5605B31-D966-4235-978D-389A093AD666}" name="兑换碎片" dataDxfId="23">
      <calculatedColumnFormula>"[""w" &amp; 500+表1[[#This Row],[id]]&amp;""","&amp;MIN(INT(表1[[#This Row],[售价钻石]]^0.6/10+1)*10,150)&amp;"]"</calculatedColumnFormula>
    </tableColumn>
    <tableColumn id="37" xr3:uid="{84293F70-15B1-45E5-BC77-B5297F61C62A}" name="上架时间" dataDxfId="22"/>
    <tableColumn id="38" xr3:uid="{BA3BA843-DF5F-4DD4-9C80-09E4CDA9A63C}" name="下降时间" dataDxfId="21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3:K70" totalsRowShown="0">
  <autoFilter ref="A3:K70" xr:uid="{00000000-0009-0000-0100-000003000000}"/>
  <tableColumns count="11">
    <tableColumn id="1" xr3:uid="{00000000-0010-0000-0100-000001000000}" name="炮倍率">
      <calculatedColumnFormula>""&amp;B4</calculatedColumnFormula>
    </tableColumn>
    <tableColumn id="2" xr3:uid="{00000000-0010-0000-0100-000002000000}" name="倍率"/>
    <tableColumn id="11" xr3:uid="{00000000-0010-0000-0100-00000B000000}" name="魅力" dataDxfId="20"/>
    <tableColumn id="3" xr3:uid="{00000000-0010-0000-0100-000003000000}" name="需要钻石"/>
    <tableColumn id="8" xr3:uid="{00000000-0010-0000-0100-000008000000}" name="解锁需要材料"/>
    <tableColumn id="9" xr3:uid="{00000000-0010-0000-0100-000009000000}" name="成功率"/>
    <tableColumn id="4" xr3:uid="{00000000-0010-0000-0100-000004000000}" name="炮几率"/>
    <tableColumn id="5" xr3:uid="{00000000-0010-0000-0100-000005000000}" name="解锁所需等级" dataDxfId="19">
      <calculatedColumnFormula>0</calculatedColumnFormula>
    </tableColumn>
    <tableColumn id="6" xr3:uid="{00000000-0010-0000-0100-000006000000}" name="激光能量需求"/>
    <tableColumn id="7" xr3:uid="{00000000-0010-0000-0100-000007000000}" name="攻击增加激光能量"/>
    <tableColumn id="10" xr3:uid="{00000000-0010-0000-0100-00000A000000}" name="列1" dataDxfId="0">
      <calculatedColumnFormula>表3[[#This Row],[炮几率]]+0.015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3_3" displayName="表3_3" ref="A3:P198" totalsRowShown="0" headerRowDxfId="18" dataDxfId="17">
  <autoFilter ref="A3:P198" xr:uid="{00000000-0009-0000-0100-000002000000}"/>
  <tableColumns count="16">
    <tableColumn id="1" xr3:uid="{00000000-0010-0000-0200-000001000000}" name="皮肤id" dataDxfId="16"/>
    <tableColumn id="2" xr3:uid="{00000000-0010-0000-0200-000002000000}" name="星级" dataDxfId="15"/>
    <tableColumn id="11" xr3:uid="{00000000-0010-0000-0200-00000B000000}" name="魅力" dataDxfId="14">
      <calculatedColumnFormula>MAX(VLOOKUP(表3_3[[#This Row],[皮肤id]],表1[[id]:[魅力]],15,FALSE),100)*(1+VLOOKUP(表3_3[[#This Row],[星级]],[2]魅力系统!$E$41:$F$53,2,FALSE))</calculatedColumnFormula>
    </tableColumn>
    <tableColumn id="3" xr3:uid="{00000000-0010-0000-0200-000003000000}" name="需要金币" dataDxfId="13">
      <calculatedColumnFormula>表3_3[[#This Row],[星级]]^2*20000+20000*表3_3[[#This Row],[星级]]</calculatedColumnFormula>
    </tableColumn>
    <tableColumn id="8" xr3:uid="{00000000-0010-0000-0200-000008000000}" name="解锁需要材料" dataDxfId="12">
      <calculatedColumnFormula>"["&amp;IF(表3_3[[#This Row],[星级]]=0,"","""w"&amp;500+表3_3[[#This Row],[皮肤id]]&amp;""","&amp;VLOOKUP(表3_3[[#This Row],[星级]],description!$C$1:$D$13,2,FALSE))&amp;"]"</calculatedColumnFormula>
    </tableColumn>
    <tableColumn id="9" xr3:uid="{00000000-0010-0000-0200-000009000000}" name="获得特效" dataDxfId="11">
      <calculatedColumnFormula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calculatedColumnFormula>
    </tableColumn>
    <tableColumn id="4" xr3:uid="{00000000-0010-0000-0200-000004000000}" name="奖金加成" dataDxfId="10"/>
    <tableColumn id="5" xr3:uid="{00000000-0010-0000-0200-000005000000}" name="比赛分数提高" dataDxfId="9"/>
    <tableColumn id="6" xr3:uid="{00000000-0010-0000-0200-000006000000}" name="比赛胜点提高" dataDxfId="8"/>
    <tableColumn id="7" xr3:uid="{00000000-0010-0000-0200-000007000000}" name="捕鱼积分加成" dataDxfId="7"/>
    <tableColumn id="10" xr3:uid="{00000000-0010-0000-0200-00000A000000}" name="升级经验加成" dataDxfId="6"/>
    <tableColumn id="12" xr3:uid="{00000000-0010-0000-0200-00000C000000}" name="激光累积速度加成" dataDxfId="5"/>
    <tableColumn id="15" xr3:uid="{00000000-0010-0000-0200-00000F000000}" name="激光威力加成" dataDxfId="4"/>
    <tableColumn id="16" xr3:uid="{00000000-0010-0000-0200-000010000000}" name="反弹次数" dataDxfId="3"/>
    <tableColumn id="17" xr3:uid="{00000000-0010-0000-0200-000011000000}" name="命中加成" dataDxfId="2"/>
    <tableColumn id="13" xr3:uid="{00000000-0010-0000-0200-00000D000000}" name="属性说明" dataDxfId="1">
      <calculatedColumnFormula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F10" sqref="F10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3" t="s">
        <v>2</v>
      </c>
      <c r="B2" t="s">
        <v>3</v>
      </c>
      <c r="C2">
        <v>1</v>
      </c>
      <c r="D2">
        <v>10</v>
      </c>
    </row>
    <row r="3" spans="1:4" ht="16.5" x14ac:dyDescent="0.3">
      <c r="A3" s="13" t="s">
        <v>4</v>
      </c>
      <c r="B3" t="s">
        <v>5</v>
      </c>
      <c r="C3">
        <v>2</v>
      </c>
      <c r="D3">
        <v>20</v>
      </c>
    </row>
    <row r="4" spans="1:4" ht="16.5" x14ac:dyDescent="0.15">
      <c r="A4" s="14" t="s">
        <v>6</v>
      </c>
      <c r="B4" t="s">
        <v>7</v>
      </c>
      <c r="C4">
        <v>3</v>
      </c>
      <c r="D4">
        <v>40</v>
      </c>
    </row>
    <row r="5" spans="1:4" x14ac:dyDescent="0.15">
      <c r="C5">
        <v>4</v>
      </c>
      <c r="D5">
        <v>60</v>
      </c>
    </row>
    <row r="6" spans="1:4" x14ac:dyDescent="0.15">
      <c r="A6" s="37" t="s">
        <v>8</v>
      </c>
      <c r="B6" s="38"/>
      <c r="C6">
        <v>5</v>
      </c>
      <c r="D6">
        <v>100</v>
      </c>
    </row>
    <row r="7" spans="1:4" x14ac:dyDescent="0.15">
      <c r="A7" s="38"/>
      <c r="B7" s="38"/>
      <c r="C7">
        <v>6</v>
      </c>
      <c r="D7">
        <v>200</v>
      </c>
    </row>
    <row r="8" spans="1:4" x14ac:dyDescent="0.15">
      <c r="A8" s="38"/>
      <c r="B8" s="38"/>
      <c r="C8">
        <v>7</v>
      </c>
      <c r="D8">
        <v>400</v>
      </c>
    </row>
    <row r="9" spans="1:4" x14ac:dyDescent="0.15">
      <c r="A9" s="38"/>
      <c r="B9" s="38"/>
      <c r="C9">
        <v>8</v>
      </c>
      <c r="D9">
        <v>700</v>
      </c>
    </row>
    <row r="10" spans="1:4" x14ac:dyDescent="0.15">
      <c r="A10" s="38"/>
      <c r="B10" s="38"/>
      <c r="C10">
        <v>9</v>
      </c>
      <c r="D10">
        <v>1000</v>
      </c>
    </row>
    <row r="11" spans="1:4" x14ac:dyDescent="0.15">
      <c r="A11" s="38"/>
      <c r="B11" s="38"/>
      <c r="C11">
        <v>10</v>
      </c>
      <c r="D11">
        <v>1800</v>
      </c>
    </row>
    <row r="12" spans="1:4" x14ac:dyDescent="0.15">
      <c r="A12" s="38"/>
      <c r="B12" s="38"/>
      <c r="C12">
        <v>11</v>
      </c>
      <c r="D12">
        <v>2600</v>
      </c>
    </row>
    <row r="13" spans="1:4" x14ac:dyDescent="0.15">
      <c r="A13" s="38"/>
      <c r="B13" s="38"/>
      <c r="C13">
        <v>12</v>
      </c>
      <c r="D13">
        <v>3600</v>
      </c>
    </row>
    <row r="14" spans="1:4" x14ac:dyDescent="0.15">
      <c r="A14" s="38"/>
      <c r="B14" s="38"/>
    </row>
    <row r="15" spans="1:4" x14ac:dyDescent="0.15">
      <c r="A15" s="38"/>
      <c r="B15" s="38"/>
    </row>
    <row r="16" spans="1:4" ht="13.15" customHeight="1" x14ac:dyDescent="0.15">
      <c r="A16" s="38"/>
      <c r="B16" s="38"/>
    </row>
    <row r="17" spans="1:2" ht="4.1500000000000004" customHeight="1" x14ac:dyDescent="0.15">
      <c r="A17" s="38"/>
      <c r="B17" s="38"/>
    </row>
    <row r="18" spans="1:2" hidden="1" x14ac:dyDescent="0.15">
      <c r="A18" s="38"/>
      <c r="B18" s="38"/>
    </row>
    <row r="19" spans="1:2" hidden="1" x14ac:dyDescent="0.15">
      <c r="A19" s="38"/>
      <c r="B19" s="38"/>
    </row>
    <row r="20" spans="1:2" hidden="1" x14ac:dyDescent="0.15">
      <c r="A20" s="38"/>
      <c r="B20" s="38"/>
    </row>
    <row r="21" spans="1:2" ht="22.9" customHeight="1" x14ac:dyDescent="0.15">
      <c r="A21" s="38"/>
      <c r="B21" s="38"/>
    </row>
    <row r="22" spans="1:2" ht="45" hidden="1" customHeight="1" x14ac:dyDescent="0.15">
      <c r="A22" s="38"/>
      <c r="B22" s="38"/>
    </row>
    <row r="23" spans="1:2" ht="51" hidden="1" customHeight="1" x14ac:dyDescent="0.15">
      <c r="A23" s="38"/>
      <c r="B23" s="38"/>
    </row>
    <row r="24" spans="1:2" x14ac:dyDescent="0.15">
      <c r="A24" s="36" t="s">
        <v>9</v>
      </c>
      <c r="B24" s="36"/>
    </row>
    <row r="25" spans="1:2" x14ac:dyDescent="0.15">
      <c r="A25" s="36" t="s">
        <v>10</v>
      </c>
      <c r="B25" s="36"/>
    </row>
    <row r="26" spans="1:2" x14ac:dyDescent="0.15">
      <c r="A26" s="36" t="s">
        <v>11</v>
      </c>
      <c r="B26" s="36"/>
    </row>
    <row r="27" spans="1:2" x14ac:dyDescent="0.15">
      <c r="A27" s="36"/>
      <c r="B27" s="36"/>
    </row>
    <row r="28" spans="1:2" x14ac:dyDescent="0.15">
      <c r="A28" s="36"/>
      <c r="B28" s="36"/>
    </row>
    <row r="29" spans="1:2" x14ac:dyDescent="0.15">
      <c r="A29" s="36"/>
      <c r="B29" s="36"/>
    </row>
    <row r="30" spans="1:2" x14ac:dyDescent="0.15">
      <c r="A30" s="36"/>
      <c r="B30" s="36"/>
    </row>
    <row r="31" spans="1:2" x14ac:dyDescent="0.15">
      <c r="A31" s="36"/>
      <c r="B31" s="36"/>
    </row>
    <row r="32" spans="1:2" x14ac:dyDescent="0.15">
      <c r="A32" s="36"/>
      <c r="B32" s="36"/>
    </row>
    <row r="33" spans="1:2" x14ac:dyDescent="0.15">
      <c r="A33" s="36"/>
      <c r="B33" s="36"/>
    </row>
    <row r="34" spans="1:2" x14ac:dyDescent="0.15">
      <c r="A34" s="36"/>
      <c r="B34" s="36"/>
    </row>
    <row r="35" spans="1:2" x14ac:dyDescent="0.15">
      <c r="A35" s="36"/>
      <c r="B35" s="36"/>
    </row>
    <row r="36" spans="1:2" x14ac:dyDescent="0.15">
      <c r="A36" s="36"/>
      <c r="B36" s="36"/>
    </row>
    <row r="37" spans="1:2" x14ac:dyDescent="0.15">
      <c r="A37" s="36"/>
      <c r="B37" s="36"/>
    </row>
    <row r="38" spans="1:2" x14ac:dyDescent="0.15">
      <c r="A38" s="36"/>
      <c r="B38" s="36"/>
    </row>
    <row r="39" spans="1:2" x14ac:dyDescent="0.15">
      <c r="A39" s="36"/>
      <c r="B39" s="36"/>
    </row>
    <row r="40" spans="1:2" x14ac:dyDescent="0.15">
      <c r="A40" s="36"/>
      <c r="B40" s="36"/>
    </row>
    <row r="41" spans="1:2" x14ac:dyDescent="0.15">
      <c r="A41" s="36"/>
      <c r="B41" s="36"/>
    </row>
    <row r="42" spans="1:2" x14ac:dyDescent="0.15">
      <c r="A42" s="36"/>
      <c r="B42" s="36"/>
    </row>
    <row r="43" spans="1:2" x14ac:dyDescent="0.15">
      <c r="A43" s="36"/>
      <c r="B43" s="36"/>
    </row>
    <row r="44" spans="1:2" x14ac:dyDescent="0.15">
      <c r="A44" s="36"/>
      <c r="B44" s="36"/>
    </row>
    <row r="45" spans="1:2" x14ac:dyDescent="0.15">
      <c r="A45" s="36"/>
      <c r="B45" s="36"/>
    </row>
    <row r="46" spans="1:2" x14ac:dyDescent="0.15">
      <c r="A46" s="36"/>
      <c r="B46" s="36"/>
    </row>
    <row r="47" spans="1:2" x14ac:dyDescent="0.15">
      <c r="A47" s="36"/>
      <c r="B47" s="36"/>
    </row>
    <row r="48" spans="1:2" x14ac:dyDescent="0.15">
      <c r="A48" s="36"/>
      <c r="B48" s="36"/>
    </row>
    <row r="49" spans="1:2" x14ac:dyDescent="0.15">
      <c r="A49" s="36"/>
      <c r="B49" s="36"/>
    </row>
    <row r="50" spans="1:2" x14ac:dyDescent="0.15">
      <c r="A50" s="36"/>
      <c r="B50" s="36"/>
    </row>
    <row r="51" spans="1:2" x14ac:dyDescent="0.15">
      <c r="A51" s="36"/>
      <c r="B51" s="36"/>
    </row>
    <row r="52" spans="1:2" x14ac:dyDescent="0.15">
      <c r="A52" s="36"/>
      <c r="B52" s="36"/>
    </row>
    <row r="53" spans="1:2" x14ac:dyDescent="0.15">
      <c r="A53" s="36"/>
      <c r="B53" s="36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51"/>
  <sheetViews>
    <sheetView workbookViewId="0">
      <selection activeCell="AB5" sqref="AB5"/>
    </sheetView>
  </sheetViews>
  <sheetFormatPr defaultColWidth="9" defaultRowHeight="16.5" x14ac:dyDescent="0.35"/>
  <cols>
    <col min="1" max="1" width="6" style="8" customWidth="1"/>
    <col min="2" max="2" width="14.25" style="9" customWidth="1"/>
    <col min="3" max="3" width="13.5" style="9" customWidth="1"/>
    <col min="4" max="4" width="9.625" style="9" customWidth="1"/>
    <col min="5" max="5" width="46.25" style="9" customWidth="1"/>
    <col min="6" max="6" width="8" style="9" customWidth="1"/>
    <col min="7" max="7" width="9.625" style="9" customWidth="1"/>
    <col min="8" max="8" width="5.125" style="9" customWidth="1"/>
    <col min="9" max="9" width="13.625" style="9" customWidth="1"/>
    <col min="10" max="10" width="8.375" style="9" customWidth="1"/>
    <col min="11" max="11" width="10" style="9" customWidth="1"/>
    <col min="12" max="12" width="9.875" style="9" customWidth="1"/>
    <col min="13" max="13" width="10.5" style="9" customWidth="1"/>
    <col min="14" max="14" width="9.125" style="9" customWidth="1"/>
    <col min="15" max="15" width="7.5" style="9" bestFit="1" customWidth="1"/>
    <col min="16" max="16" width="9.25" style="9" customWidth="1"/>
    <col min="17" max="17" width="9" style="9" customWidth="1"/>
    <col min="18" max="18" width="9.625" style="9" customWidth="1"/>
    <col min="19" max="19" width="11.25" style="9" customWidth="1"/>
    <col min="20" max="20" width="7.875" style="9" customWidth="1"/>
    <col min="21" max="21" width="8" style="9" customWidth="1"/>
    <col min="22" max="22" width="6.625" style="9" customWidth="1"/>
    <col min="23" max="23" width="8.75" style="9" customWidth="1"/>
    <col min="24" max="24" width="8.125" style="9" customWidth="1"/>
    <col min="25" max="27" width="11.125" style="9" customWidth="1"/>
    <col min="28" max="28" width="10" style="9" bestFit="1" customWidth="1"/>
    <col min="29" max="29" width="11.625" style="9" bestFit="1" customWidth="1"/>
    <col min="30" max="34" width="9" style="9"/>
    <col min="35" max="35" width="11.375" style="9" bestFit="1" customWidth="1"/>
    <col min="36" max="36" width="12.125" style="9" customWidth="1"/>
    <col min="37" max="37" width="18.75" style="9" customWidth="1"/>
    <col min="38" max="38" width="18.875" style="9" customWidth="1"/>
    <col min="39" max="16384" width="9" style="9"/>
  </cols>
  <sheetData>
    <row r="1" spans="1:38" x14ac:dyDescent="0.35">
      <c r="A1" s="2" t="s">
        <v>12</v>
      </c>
      <c r="B1" s="2" t="s">
        <v>14</v>
      </c>
      <c r="C1" s="2" t="s">
        <v>15</v>
      </c>
      <c r="D1" s="2" t="s">
        <v>13</v>
      </c>
      <c r="E1" s="2" t="s">
        <v>13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123</v>
      </c>
      <c r="M1" s="2" t="s">
        <v>156</v>
      </c>
      <c r="N1" s="2" t="s">
        <v>176</v>
      </c>
      <c r="O1" s="2" t="s">
        <v>198</v>
      </c>
      <c r="P1" s="2" t="s">
        <v>22</v>
      </c>
      <c r="Q1" s="2" t="s">
        <v>23</v>
      </c>
      <c r="R1" s="2" t="s">
        <v>127</v>
      </c>
      <c r="S1" s="2" t="s">
        <v>24</v>
      </c>
      <c r="T1" s="2" t="s">
        <v>25</v>
      </c>
      <c r="U1" s="2" t="s">
        <v>26</v>
      </c>
      <c r="V1" s="2" t="s">
        <v>27</v>
      </c>
      <c r="W1" s="2" t="s">
        <v>209</v>
      </c>
      <c r="X1" s="2" t="s">
        <v>28</v>
      </c>
      <c r="Y1" s="2" t="s">
        <v>29</v>
      </c>
      <c r="Z1" s="2" t="s">
        <v>30</v>
      </c>
      <c r="AA1" s="2" t="s">
        <v>179</v>
      </c>
      <c r="AB1" s="2" t="s">
        <v>115</v>
      </c>
      <c r="AC1" s="2" t="s">
        <v>116</v>
      </c>
      <c r="AD1" s="2" t="s">
        <v>132</v>
      </c>
      <c r="AE1" s="2" t="s">
        <v>133</v>
      </c>
      <c r="AF1" s="2" t="s">
        <v>134</v>
      </c>
      <c r="AG1" s="2" t="s">
        <v>135</v>
      </c>
      <c r="AH1" s="2" t="s">
        <v>183</v>
      </c>
      <c r="AI1" s="2" t="s">
        <v>211</v>
      </c>
      <c r="AJ1" s="2" t="s">
        <v>237</v>
      </c>
      <c r="AK1" s="2" t="s">
        <v>240</v>
      </c>
      <c r="AL1" s="2" t="s">
        <v>241</v>
      </c>
    </row>
    <row r="2" spans="1:38" x14ac:dyDescent="0.35">
      <c r="A2" s="4" t="s">
        <v>31</v>
      </c>
      <c r="B2" s="4" t="s">
        <v>32</v>
      </c>
      <c r="C2" s="4" t="s">
        <v>32</v>
      </c>
      <c r="D2" s="4" t="s">
        <v>13</v>
      </c>
      <c r="E2" s="4" t="s">
        <v>13</v>
      </c>
      <c r="F2" s="4" t="s">
        <v>33</v>
      </c>
      <c r="G2" s="4" t="s">
        <v>32</v>
      </c>
      <c r="H2" s="4" t="s">
        <v>33</v>
      </c>
      <c r="I2" s="4" t="s">
        <v>34</v>
      </c>
      <c r="J2" s="4" t="s">
        <v>109</v>
      </c>
      <c r="K2" s="4" t="s">
        <v>32</v>
      </c>
      <c r="L2" s="4" t="s">
        <v>32</v>
      </c>
      <c r="M2" s="4" t="s">
        <v>32</v>
      </c>
      <c r="N2" s="4" t="s">
        <v>177</v>
      </c>
      <c r="O2" s="4" t="s">
        <v>119</v>
      </c>
      <c r="P2" s="4" t="s">
        <v>33</v>
      </c>
      <c r="Q2" s="4" t="s">
        <v>33</v>
      </c>
      <c r="R2" s="4" t="s">
        <v>128</v>
      </c>
      <c r="S2" s="4" t="s">
        <v>34</v>
      </c>
      <c r="T2" s="4" t="s">
        <v>108</v>
      </c>
      <c r="U2" s="4" t="s">
        <v>33</v>
      </c>
      <c r="V2" s="4" t="s">
        <v>33</v>
      </c>
      <c r="W2" s="4" t="s">
        <v>208</v>
      </c>
      <c r="X2" s="4" t="s">
        <v>33</v>
      </c>
      <c r="Y2" s="4" t="s">
        <v>33</v>
      </c>
      <c r="Z2" s="4" t="s">
        <v>108</v>
      </c>
      <c r="AA2" s="4" t="s">
        <v>106</v>
      </c>
      <c r="AB2" s="4" t="s">
        <v>119</v>
      </c>
      <c r="AC2" s="4" t="s">
        <v>120</v>
      </c>
      <c r="AD2" s="4" t="s">
        <v>119</v>
      </c>
      <c r="AE2" s="4" t="s">
        <v>106</v>
      </c>
      <c r="AF2" s="4" t="s">
        <v>119</v>
      </c>
      <c r="AG2" s="4" t="s">
        <v>106</v>
      </c>
      <c r="AH2" s="4" t="s">
        <v>181</v>
      </c>
      <c r="AI2" s="4" t="s">
        <v>212</v>
      </c>
      <c r="AJ2" s="4" t="s">
        <v>243</v>
      </c>
      <c r="AK2" s="4" t="s">
        <v>32</v>
      </c>
      <c r="AL2" s="4" t="s">
        <v>32</v>
      </c>
    </row>
    <row r="3" spans="1:38" x14ac:dyDescent="0.35">
      <c r="A3" s="5" t="s">
        <v>12</v>
      </c>
      <c r="B3" s="5" t="s">
        <v>35</v>
      </c>
      <c r="C3" s="5" t="s">
        <v>36</v>
      </c>
      <c r="D3" s="5" t="s">
        <v>37</v>
      </c>
      <c r="E3" s="5" t="s">
        <v>38</v>
      </c>
      <c r="F3" s="5" t="s">
        <v>39</v>
      </c>
      <c r="G3" s="5" t="s">
        <v>40</v>
      </c>
      <c r="H3" s="5" t="s">
        <v>41</v>
      </c>
      <c r="I3" s="5" t="s">
        <v>42</v>
      </c>
      <c r="J3" s="5" t="s">
        <v>43</v>
      </c>
      <c r="K3" s="5" t="s">
        <v>122</v>
      </c>
      <c r="L3" s="5" t="s">
        <v>121</v>
      </c>
      <c r="M3" s="5" t="s">
        <v>44</v>
      </c>
      <c r="N3" s="5" t="s">
        <v>178</v>
      </c>
      <c r="O3" s="5" t="s">
        <v>199</v>
      </c>
      <c r="P3" s="5" t="s">
        <v>45</v>
      </c>
      <c r="Q3" s="5" t="s">
        <v>46</v>
      </c>
      <c r="R3" s="5" t="s">
        <v>126</v>
      </c>
      <c r="S3" s="5" t="s">
        <v>167</v>
      </c>
      <c r="T3" s="5" t="s">
        <v>165</v>
      </c>
      <c r="U3" s="5" t="s">
        <v>164</v>
      </c>
      <c r="V3" s="5" t="s">
        <v>166</v>
      </c>
      <c r="W3" s="5" t="s">
        <v>207</v>
      </c>
      <c r="X3" s="9" t="s">
        <v>47</v>
      </c>
      <c r="Y3" s="9" t="s">
        <v>48</v>
      </c>
      <c r="Z3" s="9" t="s">
        <v>49</v>
      </c>
      <c r="AA3" s="9" t="s">
        <v>180</v>
      </c>
      <c r="AB3" s="9" t="s">
        <v>117</v>
      </c>
      <c r="AC3" s="9" t="s">
        <v>118</v>
      </c>
      <c r="AD3" s="9" t="s">
        <v>136</v>
      </c>
      <c r="AE3" s="9" t="s">
        <v>137</v>
      </c>
      <c r="AF3" s="9" t="s">
        <v>138</v>
      </c>
      <c r="AG3" s="9" t="s">
        <v>139</v>
      </c>
      <c r="AH3" s="9" t="s">
        <v>184</v>
      </c>
      <c r="AI3" s="9" t="s">
        <v>210</v>
      </c>
      <c r="AJ3" s="9" t="s">
        <v>236</v>
      </c>
      <c r="AK3" s="9" t="s">
        <v>238</v>
      </c>
      <c r="AL3" s="9" t="s">
        <v>239</v>
      </c>
    </row>
    <row r="4" spans="1:38" s="6" customFormat="1" x14ac:dyDescent="0.35">
      <c r="A4" s="10">
        <v>1</v>
      </c>
      <c r="B4" s="11" t="s">
        <v>50</v>
      </c>
      <c r="C4" s="11" t="s">
        <v>51</v>
      </c>
      <c r="D4" s="11" t="str">
        <f>VLOOKUP(表1[[#This Row],[皮肤名称]],[1]!表1[#Data],2,FALSE)</f>
        <v>火炮</v>
      </c>
      <c r="E4" s="11" t="str">
        <f>VLOOKUP(表1[[#This Row],[皮肤说明]],[1]!表1[#Data],2,FALSE)</f>
        <v>常规火炮\n子弹反弹2次</v>
      </c>
      <c r="F4" s="10">
        <v>0</v>
      </c>
      <c r="G4" s="10" t="s">
        <v>52</v>
      </c>
      <c r="H4" s="10">
        <v>0</v>
      </c>
      <c r="I4" s="10" t="s">
        <v>53</v>
      </c>
      <c r="J4" s="10">
        <v>0</v>
      </c>
      <c r="K4" s="10" t="s">
        <v>149</v>
      </c>
      <c r="L4" s="10">
        <v>0</v>
      </c>
      <c r="M4" s="10" t="s">
        <v>54</v>
      </c>
      <c r="N4" s="10" t="s">
        <v>185</v>
      </c>
      <c r="O4" s="10">
        <v>0</v>
      </c>
      <c r="P4" s="10">
        <v>1000</v>
      </c>
      <c r="Q4" s="10">
        <v>2</v>
      </c>
      <c r="R4" s="10">
        <v>0</v>
      </c>
      <c r="S4" s="10" t="s">
        <v>55</v>
      </c>
      <c r="T4" s="10">
        <v>0.25</v>
      </c>
      <c r="U4" s="10">
        <v>1</v>
      </c>
      <c r="V4" s="10">
        <v>1</v>
      </c>
      <c r="W4" s="10">
        <v>1</v>
      </c>
      <c r="X4" s="12">
        <v>0</v>
      </c>
      <c r="Y4" s="12">
        <v>0</v>
      </c>
      <c r="Z4" s="12">
        <v>0.6</v>
      </c>
      <c r="AA4" s="12">
        <f>表1[[#This Row],[战斗中缩放]]*0.3</f>
        <v>0.18</v>
      </c>
      <c r="AB4" s="6">
        <v>0</v>
      </c>
      <c r="AC4" s="6">
        <v>1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 t="str">
        <f>"[""w" &amp; 500+表1[[#This Row],[id]]&amp;""","&amp;MIN(INT(表1[[#This Row],[售价钻石]]^0.6/10+1)*10,150)&amp;"]"</f>
        <v>["w501",10]</v>
      </c>
      <c r="AK4" s="6">
        <v>0</v>
      </c>
      <c r="AL4" s="6">
        <v>0</v>
      </c>
    </row>
    <row r="5" spans="1:38" s="6" customFormat="1" x14ac:dyDescent="0.35">
      <c r="A5" s="10">
        <v>2</v>
      </c>
      <c r="B5" s="11" t="s">
        <v>56</v>
      </c>
      <c r="C5" s="11" t="s">
        <v>57</v>
      </c>
      <c r="D5" s="11" t="str">
        <f>VLOOKUP(表1[[#This Row],[皮肤名称]],[1]!表1[#Data],2,FALSE)</f>
        <v>恶魔之血</v>
      </c>
      <c r="E5" s="11" t="str">
        <f>VLOOKUP(表1[[#This Row],[皮肤说明]],[1]!表1[#Data],2,FALSE)</f>
        <v>子弹反弹4次\n子弹命中+1%\n开炮速度+25%</v>
      </c>
      <c r="F5" s="10">
        <v>1</v>
      </c>
      <c r="G5" s="10" t="s">
        <v>58</v>
      </c>
      <c r="H5" s="10">
        <v>1</v>
      </c>
      <c r="I5" s="10" t="s">
        <v>59</v>
      </c>
      <c r="J5" s="10">
        <v>0</v>
      </c>
      <c r="K5" s="10" t="s">
        <v>60</v>
      </c>
      <c r="L5" s="10" t="s">
        <v>60</v>
      </c>
      <c r="M5" s="10" t="s">
        <v>61</v>
      </c>
      <c r="N5" s="10" t="s">
        <v>186</v>
      </c>
      <c r="O5" s="10">
        <v>250</v>
      </c>
      <c r="P5" s="10">
        <v>1000</v>
      </c>
      <c r="Q5" s="10">
        <v>4</v>
      </c>
      <c r="R5" s="10">
        <v>0</v>
      </c>
      <c r="S5" s="10" t="s">
        <v>55</v>
      </c>
      <c r="T5" s="10">
        <v>0.2</v>
      </c>
      <c r="U5" s="10">
        <v>1</v>
      </c>
      <c r="V5" s="10">
        <v>0</v>
      </c>
      <c r="W5" s="10">
        <v>1</v>
      </c>
      <c r="X5" s="12">
        <v>99800</v>
      </c>
      <c r="Y5" s="12">
        <v>1</v>
      </c>
      <c r="Z5" s="12">
        <v>0.6</v>
      </c>
      <c r="AA5" s="12">
        <f>表1[[#This Row],[战斗中缩放]]*0.3</f>
        <v>0.18</v>
      </c>
      <c r="AB5" s="6">
        <v>0</v>
      </c>
      <c r="AC5" s="6">
        <v>1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 t="str">
        <f>"[""w" &amp; 500+表1[[#This Row],[id]]&amp;""","&amp;MIN(INT(表1[[#This Row],[售价钻石]]^0.6/10+1)*10,150)&amp;"]"</f>
        <v>["w502",150]</v>
      </c>
      <c r="AK5" s="6">
        <v>0</v>
      </c>
      <c r="AL5" s="6">
        <v>0</v>
      </c>
    </row>
    <row r="6" spans="1:38" s="6" customFormat="1" x14ac:dyDescent="0.35">
      <c r="A6" s="10">
        <v>3</v>
      </c>
      <c r="B6" s="11" t="s">
        <v>62</v>
      </c>
      <c r="C6" s="11" t="s">
        <v>63</v>
      </c>
      <c r="D6" s="11" t="str">
        <f>VLOOKUP(表1[[#This Row],[皮肤名称]],[1]!表1[#Data],2,FALSE)</f>
        <v>天使之眼</v>
      </c>
      <c r="E6" s="11" t="str">
        <f>VLOOKUP(表1[[#This Row],[皮肤说明]],[1]!表1[#Data],2,FALSE)</f>
        <v>子弹无限反弹\n子弹命中+104%\n开炮消耗+100%</v>
      </c>
      <c r="F6" s="10">
        <v>2</v>
      </c>
      <c r="G6" s="10" t="s">
        <v>64</v>
      </c>
      <c r="H6" s="10">
        <v>2</v>
      </c>
      <c r="I6" s="10" t="s">
        <v>65</v>
      </c>
      <c r="J6" s="10">
        <v>0</v>
      </c>
      <c r="K6" s="10" t="s">
        <v>66</v>
      </c>
      <c r="L6" s="10" t="s">
        <v>66</v>
      </c>
      <c r="M6" s="10" t="s">
        <v>67</v>
      </c>
      <c r="N6" s="10" t="s">
        <v>187</v>
      </c>
      <c r="O6" s="10">
        <v>1000</v>
      </c>
      <c r="P6" s="10">
        <v>1000</v>
      </c>
      <c r="Q6" s="10">
        <v>999</v>
      </c>
      <c r="R6" s="10">
        <v>0</v>
      </c>
      <c r="S6" s="10" t="s">
        <v>292</v>
      </c>
      <c r="T6" s="10">
        <v>0.25</v>
      </c>
      <c r="U6" s="10">
        <v>1</v>
      </c>
      <c r="V6" s="10">
        <v>0</v>
      </c>
      <c r="W6" s="10">
        <v>1</v>
      </c>
      <c r="X6" s="12">
        <v>339800.00000000006</v>
      </c>
      <c r="Y6" s="12">
        <v>2</v>
      </c>
      <c r="Z6" s="12">
        <v>0.6</v>
      </c>
      <c r="AA6" s="12">
        <f>表1[[#This Row],[战斗中缩放]]*0.3</f>
        <v>0.18</v>
      </c>
      <c r="AB6" s="6">
        <v>0</v>
      </c>
      <c r="AC6" s="6">
        <v>1</v>
      </c>
      <c r="AD6" s="6">
        <v>0</v>
      </c>
      <c r="AE6" s="6">
        <v>0</v>
      </c>
      <c r="AF6" s="6">
        <v>0</v>
      </c>
      <c r="AG6" s="6">
        <v>0</v>
      </c>
      <c r="AH6" s="6">
        <v>1</v>
      </c>
      <c r="AI6" s="6">
        <v>0</v>
      </c>
      <c r="AJ6" s="6" t="str">
        <f>"[""w" &amp; 500+表1[[#This Row],[id]]&amp;""","&amp;MIN(INT(表1[[#This Row],[售价钻石]]^0.6/10+1)*10,150)&amp;"]"</f>
        <v>["w503",150]</v>
      </c>
      <c r="AK6" s="6">
        <v>0</v>
      </c>
      <c r="AL6" s="6">
        <v>0</v>
      </c>
    </row>
    <row r="7" spans="1:38" s="6" customFormat="1" x14ac:dyDescent="0.35">
      <c r="A7" s="10">
        <v>4</v>
      </c>
      <c r="B7" s="11" t="s">
        <v>68</v>
      </c>
      <c r="C7" s="11" t="s">
        <v>69</v>
      </c>
      <c r="D7" s="11" t="str">
        <f>VLOOKUP(表1[[#This Row],[皮肤名称]],[1]!表1[#Data],2,FALSE)</f>
        <v>GX770电磁炮</v>
      </c>
      <c r="E7" s="11" t="str">
        <f>VLOOKUP(表1[[#This Row],[皮肤说明]],[1]!表1[#Data],2,FALSE)</f>
        <v>子弹反弹3次\n获得金币+101%\n开炮消耗+100%\n激光累积速度+100%</v>
      </c>
      <c r="F7" s="10">
        <v>3</v>
      </c>
      <c r="G7" s="10" t="s">
        <v>70</v>
      </c>
      <c r="H7" s="10">
        <v>3</v>
      </c>
      <c r="I7" s="10" t="s">
        <v>71</v>
      </c>
      <c r="J7" s="10">
        <v>0</v>
      </c>
      <c r="K7" s="10" t="s">
        <v>72</v>
      </c>
      <c r="L7" s="10" t="s">
        <v>72</v>
      </c>
      <c r="M7" s="10" t="s">
        <v>73</v>
      </c>
      <c r="N7" s="10" t="s">
        <v>188</v>
      </c>
      <c r="O7" s="10">
        <v>400</v>
      </c>
      <c r="P7" s="10">
        <v>1000</v>
      </c>
      <c r="Q7" s="10">
        <v>3</v>
      </c>
      <c r="R7" s="10">
        <v>0</v>
      </c>
      <c r="S7" s="10" t="s">
        <v>293</v>
      </c>
      <c r="T7" s="10">
        <v>0.25</v>
      </c>
      <c r="U7" s="10">
        <v>1</v>
      </c>
      <c r="V7" s="10">
        <v>0</v>
      </c>
      <c r="W7" s="10">
        <v>1</v>
      </c>
      <c r="X7" s="12">
        <v>139800</v>
      </c>
      <c r="Y7" s="12">
        <v>3</v>
      </c>
      <c r="Z7" s="12">
        <v>0.6</v>
      </c>
      <c r="AA7" s="12">
        <f>表1[[#This Row],[战斗中缩放]]*0.3</f>
        <v>0.18</v>
      </c>
      <c r="AB7" s="6">
        <v>0</v>
      </c>
      <c r="AC7" s="6">
        <v>1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 t="str">
        <f>"[""w" &amp; 500+表1[[#This Row],[id]]&amp;""","&amp;MIN(INT(表1[[#This Row],[售价钻石]]^0.6/10+1)*10,150)&amp;"]"</f>
        <v>["w504",150]</v>
      </c>
      <c r="AK7" s="6">
        <v>0</v>
      </c>
      <c r="AL7" s="6">
        <v>0</v>
      </c>
    </row>
    <row r="8" spans="1:38" s="6" customFormat="1" x14ac:dyDescent="0.35">
      <c r="A8" s="10">
        <v>5</v>
      </c>
      <c r="B8" s="11" t="s">
        <v>74</v>
      </c>
      <c r="C8" s="11" t="s">
        <v>75</v>
      </c>
      <c r="D8" s="11" t="str">
        <f>VLOOKUP(表1[[#This Row],[皮肤名称]],[1]!表1[#Data],2,FALSE)</f>
        <v>熔岩巨炮</v>
      </c>
      <c r="E8" s="11" t="str">
        <f>VLOOKUP(表1[[#This Row],[皮肤说明]],[1]!表1[#Data],2,FALSE)</f>
        <v>子弹反弹5次\n子弹命中+1%\n子弹速度+100%</v>
      </c>
      <c r="F8" s="10">
        <v>4</v>
      </c>
      <c r="G8" s="10" t="s">
        <v>76</v>
      </c>
      <c r="H8" s="10">
        <v>4</v>
      </c>
      <c r="I8" s="10" t="s">
        <v>77</v>
      </c>
      <c r="J8" s="10">
        <v>0</v>
      </c>
      <c r="K8" s="10" t="s">
        <v>78</v>
      </c>
      <c r="L8" s="10" t="s">
        <v>78</v>
      </c>
      <c r="M8" s="10" t="s">
        <v>79</v>
      </c>
      <c r="N8" s="10" t="s">
        <v>189</v>
      </c>
      <c r="O8" s="10">
        <v>150</v>
      </c>
      <c r="P8" s="10">
        <v>2000</v>
      </c>
      <c r="Q8" s="10">
        <v>5</v>
      </c>
      <c r="R8" s="10">
        <v>0</v>
      </c>
      <c r="S8" s="10" t="s">
        <v>55</v>
      </c>
      <c r="T8" s="10">
        <v>0.25</v>
      </c>
      <c r="U8" s="10">
        <v>1</v>
      </c>
      <c r="V8" s="10">
        <v>0</v>
      </c>
      <c r="W8" s="10">
        <v>1</v>
      </c>
      <c r="X8" s="12">
        <v>59799.999999999993</v>
      </c>
      <c r="Y8" s="12">
        <v>4</v>
      </c>
      <c r="Z8" s="12">
        <v>0.55000000000000004</v>
      </c>
      <c r="AA8" s="12">
        <f>表1[[#This Row],[战斗中缩放]]*0.3</f>
        <v>0.16500000000000001</v>
      </c>
      <c r="AB8" s="6">
        <v>0</v>
      </c>
      <c r="AC8" s="6">
        <v>1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 t="str">
        <f>"[""w" &amp; 500+表1[[#This Row],[id]]&amp;""","&amp;MIN(INT(表1[[#This Row],[售价钻石]]^0.6/10+1)*10,150)&amp;"]"</f>
        <v>["w505",150]</v>
      </c>
      <c r="AK8" s="6">
        <v>0</v>
      </c>
      <c r="AL8" s="6">
        <v>0</v>
      </c>
    </row>
    <row r="9" spans="1:38" s="6" customFormat="1" x14ac:dyDescent="0.35">
      <c r="A9" s="10">
        <v>6</v>
      </c>
      <c r="B9" s="11" t="s">
        <v>80</v>
      </c>
      <c r="C9" s="11" t="s">
        <v>81</v>
      </c>
      <c r="D9" s="11" t="str">
        <f>VLOOKUP(表1[[#This Row],[皮肤名称]],[1]!表1[#Data],2,FALSE)</f>
        <v>蛤蟆文太</v>
      </c>
      <c r="E9" s="11" t="str">
        <f>VLOOKUP(表1[[#This Row],[皮肤说明]],[1]!表1[#Data],2,FALSE)</f>
        <v>自带锁定\n子弹命中+408%\n开炮消耗+400%\n激光累积速度+400%</v>
      </c>
      <c r="F9" s="10">
        <v>5</v>
      </c>
      <c r="G9" s="10" t="s">
        <v>82</v>
      </c>
      <c r="H9" s="10">
        <v>6</v>
      </c>
      <c r="I9" s="10" t="s">
        <v>77</v>
      </c>
      <c r="J9" s="10">
        <v>0</v>
      </c>
      <c r="K9" s="10" t="s">
        <v>83</v>
      </c>
      <c r="L9" s="10" t="s">
        <v>83</v>
      </c>
      <c r="M9" s="10" t="s">
        <v>79</v>
      </c>
      <c r="N9" s="10" t="s">
        <v>190</v>
      </c>
      <c r="O9" s="10">
        <v>1050</v>
      </c>
      <c r="P9" s="10">
        <v>8000</v>
      </c>
      <c r="Q9" s="10">
        <v>0</v>
      </c>
      <c r="R9" s="10">
        <v>0</v>
      </c>
      <c r="S9" s="10" t="s">
        <v>297</v>
      </c>
      <c r="T9" s="10">
        <v>0.6</v>
      </c>
      <c r="U9" s="10">
        <v>1</v>
      </c>
      <c r="V9" s="10">
        <v>0</v>
      </c>
      <c r="W9" s="10">
        <v>1</v>
      </c>
      <c r="X9" s="12">
        <v>359800.00000000006</v>
      </c>
      <c r="Y9" s="12">
        <v>6</v>
      </c>
      <c r="Z9" s="12">
        <v>0.6</v>
      </c>
      <c r="AA9" s="12">
        <f>表1[[#This Row],[战斗中缩放]]*0.3</f>
        <v>0.18</v>
      </c>
      <c r="AB9" s="6">
        <v>0</v>
      </c>
      <c r="AC9" s="6">
        <v>1</v>
      </c>
      <c r="AD9" s="6">
        <v>0</v>
      </c>
      <c r="AE9" s="6">
        <v>0</v>
      </c>
      <c r="AF9" s="6">
        <v>0</v>
      </c>
      <c r="AG9" s="6">
        <v>0</v>
      </c>
      <c r="AH9" s="6">
        <v>1</v>
      </c>
      <c r="AI9" s="6">
        <v>0</v>
      </c>
      <c r="AJ9" s="6" t="str">
        <f>"[""w" &amp; 500+表1[[#This Row],[id]]&amp;""","&amp;MIN(INT(表1[[#This Row],[售价钻石]]^0.6/10+1)*10,150)&amp;"]"</f>
        <v>["w506",150]</v>
      </c>
      <c r="AK9" s="6">
        <v>0</v>
      </c>
      <c r="AL9" s="6">
        <v>0</v>
      </c>
    </row>
    <row r="10" spans="1:38" s="6" customFormat="1" x14ac:dyDescent="0.35">
      <c r="A10" s="10">
        <v>7</v>
      </c>
      <c r="B10" s="11" t="s">
        <v>84</v>
      </c>
      <c r="C10" s="11" t="s">
        <v>85</v>
      </c>
      <c r="D10" s="11" t="str">
        <f>VLOOKUP(表1[[#This Row],[皮肤名称]],[1]!表1[#Data],2,FALSE)</f>
        <v>星舰·黎明</v>
      </c>
      <c r="E10" s="11" t="str">
        <f>VLOOKUP(表1[[#This Row],[皮肤说明]],[1]!表1[#Data],2,FALSE)</f>
        <v>子弹无限反弹\n子弹命中+2%\n子弹速度+100%\n开炮速度+100%</v>
      </c>
      <c r="F10" s="10">
        <v>6</v>
      </c>
      <c r="G10" s="10" t="s">
        <v>86</v>
      </c>
      <c r="H10" s="10">
        <v>7</v>
      </c>
      <c r="I10" s="10" t="s">
        <v>77</v>
      </c>
      <c r="J10" s="10">
        <v>0</v>
      </c>
      <c r="K10" s="10" t="s">
        <v>87</v>
      </c>
      <c r="L10" s="10" t="s">
        <v>87</v>
      </c>
      <c r="M10" s="10" t="s">
        <v>114</v>
      </c>
      <c r="N10" s="10" t="s">
        <v>191</v>
      </c>
      <c r="O10" s="10">
        <v>1150</v>
      </c>
      <c r="P10" s="10">
        <v>2000</v>
      </c>
      <c r="Q10" s="10">
        <v>999</v>
      </c>
      <c r="R10" s="10">
        <v>0</v>
      </c>
      <c r="S10" s="10" t="s">
        <v>295</v>
      </c>
      <c r="T10" s="10">
        <v>0.13</v>
      </c>
      <c r="U10" s="10">
        <v>1</v>
      </c>
      <c r="V10" s="10">
        <v>0</v>
      </c>
      <c r="W10" s="10">
        <v>1</v>
      </c>
      <c r="X10" s="12">
        <v>399800.00000000006</v>
      </c>
      <c r="Y10" s="12">
        <v>7</v>
      </c>
      <c r="Z10" s="12">
        <v>0.6</v>
      </c>
      <c r="AA10" s="12">
        <f>表1[[#This Row],[战斗中缩放]]*0.3</f>
        <v>0.18</v>
      </c>
      <c r="AB10" s="6">
        <v>0</v>
      </c>
      <c r="AC10" s="6">
        <v>1</v>
      </c>
      <c r="AD10" s="6">
        <v>0</v>
      </c>
      <c r="AE10" s="6">
        <v>0</v>
      </c>
      <c r="AF10" s="6">
        <v>0</v>
      </c>
      <c r="AG10" s="6">
        <v>0</v>
      </c>
      <c r="AH10" s="6">
        <v>1</v>
      </c>
      <c r="AI10" s="6">
        <v>0</v>
      </c>
      <c r="AJ10" s="6" t="str">
        <f>"[""w" &amp; 500+表1[[#This Row],[id]]&amp;""","&amp;MIN(INT(表1[[#This Row],[售价钻石]]^0.6/10+1)*10,150)&amp;"]"</f>
        <v>["w507",150]</v>
      </c>
      <c r="AK10" s="6">
        <v>0</v>
      </c>
      <c r="AL10" s="6">
        <v>0</v>
      </c>
    </row>
    <row r="11" spans="1:38" s="6" customFormat="1" x14ac:dyDescent="0.35">
      <c r="A11" s="10">
        <v>8</v>
      </c>
      <c r="B11" s="11" t="s">
        <v>124</v>
      </c>
      <c r="C11" s="11" t="s">
        <v>125</v>
      </c>
      <c r="D11" s="16" t="str">
        <f>VLOOKUP(表1[[#This Row],[皮肤名称]],[1]!表1[#Data],2,FALSE)</f>
        <v>泡泡膛</v>
      </c>
      <c r="E11" s="16" t="str">
        <f>VLOOKUP(表1[[#This Row],[皮肤说明]],[1]!表1[#Data],2,FALSE)</f>
        <v>发射水炮到地上\n开炮消耗+100%\n激光累积速度+100%\n14%概率额外发射8颗水泡</v>
      </c>
      <c r="F11" s="10">
        <v>7</v>
      </c>
      <c r="G11" s="10" t="s">
        <v>129</v>
      </c>
      <c r="H11" s="10">
        <v>8</v>
      </c>
      <c r="I11" s="10" t="s">
        <v>77</v>
      </c>
      <c r="J11" s="10">
        <v>0</v>
      </c>
      <c r="K11" s="10" t="s">
        <v>130</v>
      </c>
      <c r="L11" s="10" t="s">
        <v>87</v>
      </c>
      <c r="M11" s="10" t="s">
        <v>131</v>
      </c>
      <c r="N11" s="10" t="s">
        <v>192</v>
      </c>
      <c r="O11" s="10">
        <v>1250</v>
      </c>
      <c r="P11" s="10">
        <v>1000</v>
      </c>
      <c r="Q11" s="10">
        <v>0</v>
      </c>
      <c r="R11" s="10">
        <v>0.12875</v>
      </c>
      <c r="S11" s="10" t="s">
        <v>168</v>
      </c>
      <c r="T11" s="10">
        <v>0.26</v>
      </c>
      <c r="U11" s="10">
        <v>1</v>
      </c>
      <c r="V11" s="10">
        <v>0</v>
      </c>
      <c r="W11" s="10">
        <v>1</v>
      </c>
      <c r="X11" s="12">
        <v>419800.00000000006</v>
      </c>
      <c r="Y11" s="12">
        <v>8</v>
      </c>
      <c r="Z11" s="12">
        <v>0.6</v>
      </c>
      <c r="AA11" s="12">
        <f>表1[[#This Row],[战斗中缩放]]*0.3</f>
        <v>0.18</v>
      </c>
      <c r="AB11" s="17">
        <v>0</v>
      </c>
      <c r="AC11" s="6">
        <v>1</v>
      </c>
      <c r="AD11" s="6">
        <v>0</v>
      </c>
      <c r="AE11" s="6">
        <v>0</v>
      </c>
      <c r="AF11" s="6">
        <v>0</v>
      </c>
      <c r="AG11" s="6">
        <v>0</v>
      </c>
      <c r="AH11" s="6">
        <v>1</v>
      </c>
      <c r="AI11" s="6">
        <v>0</v>
      </c>
      <c r="AJ11" s="6" t="str">
        <f>"[""w" &amp; 500+表1[[#This Row],[id]]&amp;""","&amp;MIN(INT(表1[[#This Row],[售价钻石]]^0.6/10+1)*10,150)&amp;"]"</f>
        <v>["w508",150]</v>
      </c>
      <c r="AK11" s="6">
        <v>0</v>
      </c>
      <c r="AL11" s="6">
        <v>0</v>
      </c>
    </row>
    <row r="12" spans="1:38" s="6" customFormat="1" x14ac:dyDescent="0.35">
      <c r="A12" s="10">
        <v>9</v>
      </c>
      <c r="B12" s="11" t="s">
        <v>140</v>
      </c>
      <c r="C12" s="11" t="s">
        <v>141</v>
      </c>
      <c r="D12" s="16" t="str">
        <f>VLOOKUP(表1[[#This Row],[皮肤名称]],[1]!表1[#Data],2,FALSE)</f>
        <v>黄金加特林</v>
      </c>
      <c r="E12" s="16" t="str">
        <f>VLOOKUP(表1[[#This Row],[皮肤说明]],[1]!表1[#Data],2,FALSE)</f>
        <v>子弹无限反弹\n子弹命中+2%\n开炮速度+150%</v>
      </c>
      <c r="F12" s="10">
        <v>8</v>
      </c>
      <c r="G12" s="10" t="s">
        <v>144</v>
      </c>
      <c r="H12" s="10">
        <v>9</v>
      </c>
      <c r="I12" s="10" t="s">
        <v>77</v>
      </c>
      <c r="J12" s="10">
        <v>0</v>
      </c>
      <c r="K12" s="10" t="s">
        <v>142</v>
      </c>
      <c r="L12" s="10" t="s">
        <v>143</v>
      </c>
      <c r="M12" s="10" t="s">
        <v>148</v>
      </c>
      <c r="N12" s="10" t="s">
        <v>193</v>
      </c>
      <c r="O12" s="10">
        <v>1050</v>
      </c>
      <c r="P12" s="10">
        <v>1000</v>
      </c>
      <c r="Q12" s="10">
        <v>999</v>
      </c>
      <c r="R12" s="10">
        <v>0</v>
      </c>
      <c r="S12" s="10" t="s">
        <v>295</v>
      </c>
      <c r="T12" s="10">
        <v>0.1</v>
      </c>
      <c r="U12" s="10">
        <v>1</v>
      </c>
      <c r="V12" s="10">
        <v>0</v>
      </c>
      <c r="W12" s="10">
        <v>1</v>
      </c>
      <c r="X12" s="12">
        <v>359800.00000000006</v>
      </c>
      <c r="Y12" s="12">
        <v>9</v>
      </c>
      <c r="Z12" s="12">
        <v>0.6</v>
      </c>
      <c r="AA12" s="12">
        <f>表1[[#This Row],[战斗中缩放]]*0.3</f>
        <v>0.18</v>
      </c>
      <c r="AB12" s="17">
        <v>0</v>
      </c>
      <c r="AC12" s="6">
        <v>1</v>
      </c>
      <c r="AD12" s="6">
        <v>100</v>
      </c>
      <c r="AE12" s="6">
        <v>5</v>
      </c>
      <c r="AF12" s="6">
        <v>10</v>
      </c>
      <c r="AG12" s="6">
        <v>0.5</v>
      </c>
      <c r="AH12" s="6">
        <v>1</v>
      </c>
      <c r="AI12" s="6">
        <v>0</v>
      </c>
      <c r="AJ12" s="6" t="str">
        <f>"[""w" &amp; 500+表1[[#This Row],[id]]&amp;""","&amp;MIN(INT(表1[[#This Row],[售价钻石]]^0.6/10+1)*10,150)&amp;"]"</f>
        <v>["w509",150]</v>
      </c>
      <c r="AK12" s="6">
        <v>0</v>
      </c>
      <c r="AL12" s="6">
        <v>0</v>
      </c>
    </row>
    <row r="13" spans="1:38" s="6" customFormat="1" x14ac:dyDescent="0.35">
      <c r="A13" s="10">
        <v>10</v>
      </c>
      <c r="B13" s="11" t="s">
        <v>151</v>
      </c>
      <c r="C13" s="11" t="s">
        <v>152</v>
      </c>
      <c r="D13" s="16" t="str">
        <f>VLOOKUP(表1[[#This Row],[皮肤名称]],[1]!表1[#Data],2,FALSE)</f>
        <v>星舰·孤狼</v>
      </c>
      <c r="E13" s="16" t="str">
        <f>VLOOKUP(表1[[#This Row],[皮肤说明]],[1]!表1[#Data],2,FALSE)</f>
        <v>激光扫射\n子弹命中+205%\n开炮消耗+200%\n激光累积速度+200%</v>
      </c>
      <c r="F13" s="10">
        <v>9</v>
      </c>
      <c r="G13" s="10" t="s">
        <v>161</v>
      </c>
      <c r="H13" s="10">
        <v>10</v>
      </c>
      <c r="I13" s="10" t="s">
        <v>153</v>
      </c>
      <c r="J13" s="10">
        <v>0</v>
      </c>
      <c r="K13" s="10" t="s">
        <v>160</v>
      </c>
      <c r="L13" s="10" t="s">
        <v>160</v>
      </c>
      <c r="M13" s="10">
        <v>0</v>
      </c>
      <c r="N13" s="10" t="s">
        <v>194</v>
      </c>
      <c r="O13" s="10">
        <v>800</v>
      </c>
      <c r="P13" s="10">
        <v>1000</v>
      </c>
      <c r="Q13" s="10">
        <v>0</v>
      </c>
      <c r="R13" s="10">
        <v>100.801</v>
      </c>
      <c r="S13" s="10" t="s">
        <v>298</v>
      </c>
      <c r="T13" s="10">
        <v>0.4</v>
      </c>
      <c r="U13" s="10">
        <v>1</v>
      </c>
      <c r="V13" s="10">
        <v>0</v>
      </c>
      <c r="W13" s="10">
        <v>1</v>
      </c>
      <c r="X13" s="12">
        <v>279800</v>
      </c>
      <c r="Y13" s="12">
        <v>10</v>
      </c>
      <c r="Z13" s="12">
        <v>0.7</v>
      </c>
      <c r="AA13" s="12">
        <f>表1[[#This Row],[战斗中缩放]]*0.3</f>
        <v>0.21</v>
      </c>
      <c r="AB13" s="17">
        <v>0</v>
      </c>
      <c r="AC13" s="6">
        <v>1</v>
      </c>
      <c r="AD13" s="6">
        <v>0</v>
      </c>
      <c r="AE13" s="6">
        <v>0</v>
      </c>
      <c r="AF13" s="6">
        <v>0</v>
      </c>
      <c r="AG13" s="6">
        <v>0</v>
      </c>
      <c r="AH13" s="6">
        <v>1</v>
      </c>
      <c r="AI13" s="6">
        <v>0</v>
      </c>
      <c r="AJ13" s="6" t="str">
        <f>"[""w" &amp; 500+表1[[#This Row],[id]]&amp;""","&amp;MIN(INT(表1[[#This Row],[售价钻石]]^0.6/10+1)*10,150)&amp;"]"</f>
        <v>["w510",150]</v>
      </c>
      <c r="AK13" s="6">
        <v>0</v>
      </c>
      <c r="AL13" s="6">
        <v>0</v>
      </c>
    </row>
    <row r="14" spans="1:38" s="6" customFormat="1" x14ac:dyDescent="0.35">
      <c r="A14" s="10">
        <v>11</v>
      </c>
      <c r="B14" s="11" t="s">
        <v>145</v>
      </c>
      <c r="C14" s="11" t="s">
        <v>146</v>
      </c>
      <c r="D14" s="16" t="str">
        <f>VLOOKUP(表1[[#This Row],[皮肤名称]],[1]!表1[#Data],2,FALSE)</f>
        <v>电玩精英</v>
      </c>
      <c r="E14" s="16" t="str">
        <f>VLOOKUP(表1[[#This Row],[皮肤说明]],[1]!表1[#Data],2,FALSE)</f>
        <v>子弹无限反弹\n激光累积速度+100%\n捕获奖金鱼获得奖金+20%\n子弹命中、开炮消耗+100%</v>
      </c>
      <c r="F14" s="10">
        <v>10</v>
      </c>
      <c r="G14" s="10" t="s">
        <v>154</v>
      </c>
      <c r="H14" s="10">
        <v>11</v>
      </c>
      <c r="I14" s="10" t="s">
        <v>147</v>
      </c>
      <c r="J14" s="10">
        <v>0</v>
      </c>
      <c r="K14" s="10" t="s">
        <v>174</v>
      </c>
      <c r="L14" s="10" t="s">
        <v>142</v>
      </c>
      <c r="M14" s="10" t="s">
        <v>150</v>
      </c>
      <c r="N14" s="10" t="s">
        <v>195</v>
      </c>
      <c r="O14" s="10">
        <v>1100</v>
      </c>
      <c r="P14" s="10">
        <v>1000</v>
      </c>
      <c r="Q14" s="10">
        <v>999</v>
      </c>
      <c r="R14" s="10">
        <v>0.2</v>
      </c>
      <c r="S14" s="10" t="s">
        <v>242</v>
      </c>
      <c r="T14" s="10">
        <v>0.25</v>
      </c>
      <c r="U14" s="10">
        <v>1</v>
      </c>
      <c r="V14" s="10">
        <v>0</v>
      </c>
      <c r="W14" s="10">
        <v>1</v>
      </c>
      <c r="X14" s="12">
        <v>379800.00000000006</v>
      </c>
      <c r="Y14" s="12">
        <v>11</v>
      </c>
      <c r="Z14" s="12">
        <v>0.85</v>
      </c>
      <c r="AA14" s="12">
        <f>表1[[#This Row],[战斗中缩放]]*0.3</f>
        <v>0.255</v>
      </c>
      <c r="AB14" s="17">
        <v>0</v>
      </c>
      <c r="AC14" s="6">
        <v>1</v>
      </c>
      <c r="AD14" s="6">
        <v>0</v>
      </c>
      <c r="AE14" s="6">
        <v>0</v>
      </c>
      <c r="AF14" s="6">
        <v>0</v>
      </c>
      <c r="AG14" s="6">
        <v>0</v>
      </c>
      <c r="AH14" s="6">
        <v>1</v>
      </c>
      <c r="AI14" s="6">
        <v>0</v>
      </c>
      <c r="AJ14" s="6" t="str">
        <f>"[""w" &amp; 500+表1[[#This Row],[id]]&amp;""","&amp;MIN(INT(表1[[#This Row],[售价钻石]]^0.6/10+1)*10,150)&amp;"]"</f>
        <v>["w511",150]</v>
      </c>
      <c r="AK14" s="6">
        <v>0</v>
      </c>
      <c r="AL14" s="6">
        <v>0</v>
      </c>
    </row>
    <row r="15" spans="1:38" s="6" customFormat="1" x14ac:dyDescent="0.35">
      <c r="A15" s="10">
        <v>12</v>
      </c>
      <c r="B15" s="11" t="s">
        <v>158</v>
      </c>
      <c r="C15" s="11" t="s">
        <v>159</v>
      </c>
      <c r="D15" s="16" t="str">
        <f>VLOOKUP(表1[[#This Row],[皮肤名称]],[1]!表1[#Data],2,FALSE)</f>
        <v>霜之哀伤</v>
      </c>
      <c r="E15" s="16" t="str">
        <f>VLOOKUP(表1[[#This Row],[皮肤说明]],[1]!表1[#Data],2,FALSE)</f>
        <v>子弹无限反弹\n开炮速度+70%\n降低鱼游动速度80%\n子弹命中+0.5%</v>
      </c>
      <c r="F15" s="10">
        <v>11</v>
      </c>
      <c r="G15" s="10" t="s">
        <v>155</v>
      </c>
      <c r="H15" s="10">
        <v>0</v>
      </c>
      <c r="I15" s="10" t="s">
        <v>157</v>
      </c>
      <c r="J15" s="10">
        <v>0</v>
      </c>
      <c r="K15" s="10" t="s">
        <v>163</v>
      </c>
      <c r="L15" s="10" t="s">
        <v>163</v>
      </c>
      <c r="M15" s="10" t="s">
        <v>162</v>
      </c>
      <c r="N15" s="10" t="s">
        <v>196</v>
      </c>
      <c r="O15" s="10">
        <v>1300</v>
      </c>
      <c r="P15" s="10">
        <v>1000</v>
      </c>
      <c r="Q15" s="10">
        <v>999</v>
      </c>
      <c r="R15" s="10">
        <v>0.7</v>
      </c>
      <c r="S15" s="10" t="s">
        <v>296</v>
      </c>
      <c r="T15" s="10">
        <v>0.15</v>
      </c>
      <c r="U15" s="10">
        <v>1</v>
      </c>
      <c r="V15" s="10">
        <v>0</v>
      </c>
      <c r="W15" s="10">
        <v>1</v>
      </c>
      <c r="X15" s="12">
        <v>439800.00000000006</v>
      </c>
      <c r="Y15" s="12">
        <v>12</v>
      </c>
      <c r="Z15" s="12">
        <v>0.6</v>
      </c>
      <c r="AA15" s="12">
        <f>表1[[#This Row],[战斗中缩放]]*0.3</f>
        <v>0.18</v>
      </c>
      <c r="AB15" s="17">
        <v>0</v>
      </c>
      <c r="AC15" s="6">
        <v>1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 t="s">
        <v>214</v>
      </c>
      <c r="AJ15" s="6" t="str">
        <f>"[""w" &amp; 500+表1[[#This Row],[id]]&amp;""","&amp;MIN(INT(表1[[#This Row],[售价钻石]]^0.6/10+1)*10,150)&amp;"]"</f>
        <v>["w512",150]</v>
      </c>
      <c r="AK15" s="6">
        <v>0</v>
      </c>
      <c r="AL15" s="6">
        <v>0</v>
      </c>
    </row>
    <row r="16" spans="1:38" s="6" customFormat="1" x14ac:dyDescent="0.35">
      <c r="A16" s="10">
        <v>13</v>
      </c>
      <c r="B16" s="11" t="s">
        <v>169</v>
      </c>
      <c r="C16" s="11" t="s">
        <v>170</v>
      </c>
      <c r="D16" s="16" t="str">
        <f>VLOOKUP(表1[[#This Row],[皮肤名称]],[1]!表1[#Data],2,FALSE)</f>
        <v>赤炎女神的诅咒</v>
      </c>
      <c r="E16" s="16" t="str">
        <f>VLOOKUP(表1[[#This Row],[皮肤说明]],[1]!表1[#Data],2,FALSE)</f>
        <v>子弹无限反弹\n子弹命中+1%\n每次攻击使鱼分值减1\n并同比例提高其捕获率</v>
      </c>
      <c r="F16" s="10">
        <v>12</v>
      </c>
      <c r="G16" s="10" t="s">
        <v>172</v>
      </c>
      <c r="H16" s="10">
        <v>13</v>
      </c>
      <c r="I16" s="10" t="s">
        <v>157</v>
      </c>
      <c r="J16" s="10">
        <v>0</v>
      </c>
      <c r="K16" s="10" t="s">
        <v>173</v>
      </c>
      <c r="L16" s="10" t="s">
        <v>173</v>
      </c>
      <c r="M16" s="10" t="s">
        <v>171</v>
      </c>
      <c r="N16" s="10" t="s">
        <v>197</v>
      </c>
      <c r="O16" s="10">
        <v>1550</v>
      </c>
      <c r="P16" s="10">
        <v>1000</v>
      </c>
      <c r="Q16" s="10">
        <v>999</v>
      </c>
      <c r="R16" s="10">
        <v>1</v>
      </c>
      <c r="S16" s="10" t="s">
        <v>295</v>
      </c>
      <c r="T16" s="10">
        <v>0.25</v>
      </c>
      <c r="U16" s="10">
        <v>1</v>
      </c>
      <c r="V16" s="10">
        <v>0</v>
      </c>
      <c r="W16" s="10">
        <v>0</v>
      </c>
      <c r="X16" s="12">
        <v>519799.99999999994</v>
      </c>
      <c r="Y16" s="12">
        <v>13</v>
      </c>
      <c r="Z16" s="12">
        <v>1</v>
      </c>
      <c r="AA16" s="12">
        <f>表1[[#This Row],[战斗中缩放]]*0.3</f>
        <v>0.3</v>
      </c>
      <c r="AB16" s="17">
        <v>0</v>
      </c>
      <c r="AC16" s="6">
        <v>1</v>
      </c>
      <c r="AD16" s="6">
        <v>0</v>
      </c>
      <c r="AE16" s="6">
        <v>0</v>
      </c>
      <c r="AF16" s="6">
        <v>0</v>
      </c>
      <c r="AG16" s="6">
        <v>0</v>
      </c>
      <c r="AH16" s="6">
        <v>1</v>
      </c>
      <c r="AI16" s="6" t="s">
        <v>213</v>
      </c>
      <c r="AJ16" s="6" t="str">
        <f>"[""w" &amp; 500+表1[[#This Row],[id]]&amp;""","&amp;MIN(INT(表1[[#This Row],[售价钻石]]^0.6/10+1)*10,150)&amp;"]"</f>
        <v>["w513",150]</v>
      </c>
      <c r="AK16" s="6">
        <v>0</v>
      </c>
      <c r="AL16" s="6">
        <v>0</v>
      </c>
    </row>
    <row r="17" spans="1:38" s="6" customFormat="1" x14ac:dyDescent="0.35">
      <c r="A17" s="10">
        <v>14</v>
      </c>
      <c r="B17" s="11" t="s">
        <v>245</v>
      </c>
      <c r="C17" s="11" t="s">
        <v>246</v>
      </c>
      <c r="D17" s="16" t="str">
        <f>VLOOKUP(表1[[#This Row],[皮肤名称]],[1]!表1[#Data],2,FALSE)</f>
        <v>月亮兔</v>
      </c>
      <c r="E17" s="16" t="str">
        <f>VLOOKUP(表1[[#This Row],[皮肤说明]],[1]!表1[#Data],2,FALSE)</f>
        <v>子弹无限反弹\n开炮消耗+100%\n激光累积速度+100%\n击中时51%概率产生新子弹</v>
      </c>
      <c r="F17" s="10">
        <v>13</v>
      </c>
      <c r="G17" s="10" t="s">
        <v>257</v>
      </c>
      <c r="H17" s="10">
        <v>0</v>
      </c>
      <c r="I17" s="10" t="s">
        <v>157</v>
      </c>
      <c r="J17" s="10">
        <v>0</v>
      </c>
      <c r="K17" s="10" t="s">
        <v>253</v>
      </c>
      <c r="L17" s="10" t="s">
        <v>253</v>
      </c>
      <c r="M17" s="10" t="s">
        <v>249</v>
      </c>
      <c r="N17" s="10" t="s">
        <v>252</v>
      </c>
      <c r="O17" s="21">
        <v>1800</v>
      </c>
      <c r="P17" s="10">
        <v>500</v>
      </c>
      <c r="Q17" s="10">
        <v>999</v>
      </c>
      <c r="R17" s="10">
        <v>0.50370000000000004</v>
      </c>
      <c r="S17" s="10" t="s">
        <v>168</v>
      </c>
      <c r="T17" s="10">
        <v>0.25</v>
      </c>
      <c r="U17" s="10">
        <v>1</v>
      </c>
      <c r="V17" s="10">
        <v>0</v>
      </c>
      <c r="W17" s="10">
        <v>0</v>
      </c>
      <c r="X17" s="12">
        <v>19999800</v>
      </c>
      <c r="Y17" s="12">
        <v>14</v>
      </c>
      <c r="Z17" s="12">
        <v>0.9</v>
      </c>
      <c r="AA17" s="12">
        <f>表1[[#This Row],[战斗中缩放]]*0.3</f>
        <v>0.27</v>
      </c>
      <c r="AB17" s="17">
        <v>0</v>
      </c>
      <c r="AC17" s="6">
        <v>1</v>
      </c>
      <c r="AD17" s="6">
        <v>0</v>
      </c>
      <c r="AE17" s="6">
        <v>0</v>
      </c>
      <c r="AF17" s="6">
        <v>0</v>
      </c>
      <c r="AG17" s="6">
        <v>0</v>
      </c>
      <c r="AH17" s="6">
        <v>1</v>
      </c>
      <c r="AI17" s="6" t="s">
        <v>213</v>
      </c>
      <c r="AJ17" s="6" t="str">
        <f>"[""w" &amp; 500+表1[[#This Row],[id]]&amp;""","&amp;MIN(INT(表1[[#This Row],[售价钻石]]^0.6/10+1)*10,150)&amp;"]"</f>
        <v>["w514",150]</v>
      </c>
      <c r="AK17" s="6">
        <v>0</v>
      </c>
      <c r="AL17" s="6">
        <v>0</v>
      </c>
    </row>
    <row r="18" spans="1:38" s="6" customFormat="1" x14ac:dyDescent="0.35">
      <c r="A18" s="10">
        <v>15</v>
      </c>
      <c r="B18" s="11" t="s">
        <v>247</v>
      </c>
      <c r="C18" s="11" t="s">
        <v>248</v>
      </c>
      <c r="D18" s="16" t="str">
        <f>VLOOKUP(表1[[#This Row],[皮肤名称]],[1]!表1[#Data],2,FALSE)</f>
        <v>歼20战机</v>
      </c>
      <c r="E18" s="16" t="str">
        <f>VLOOKUP(表1[[#This Row],[皮肤说明]],[1]!表1[#Data],2,FALSE)</f>
        <v>子弹无限反弹，且命中+1%\n激光累积速度+500%\n发射一枚消耗+500%的导弹\n导弹分裂成4-8颗子弹</v>
      </c>
      <c r="F18" s="10">
        <v>14</v>
      </c>
      <c r="G18" s="10" t="s">
        <v>258</v>
      </c>
      <c r="H18" s="10">
        <v>0</v>
      </c>
      <c r="I18" s="10" t="s">
        <v>157</v>
      </c>
      <c r="J18" s="10">
        <v>0</v>
      </c>
      <c r="K18" s="10" t="s">
        <v>254</v>
      </c>
      <c r="L18" s="10" t="s">
        <v>254</v>
      </c>
      <c r="M18" s="10" t="s">
        <v>250</v>
      </c>
      <c r="N18" s="10" t="s">
        <v>251</v>
      </c>
      <c r="O18" s="21">
        <v>1800</v>
      </c>
      <c r="P18" s="10">
        <v>500</v>
      </c>
      <c r="Q18" s="10">
        <v>999</v>
      </c>
      <c r="R18" s="10">
        <v>1</v>
      </c>
      <c r="S18" s="10" t="s">
        <v>294</v>
      </c>
      <c r="T18" s="10">
        <v>0.75</v>
      </c>
      <c r="U18" s="10">
        <v>1</v>
      </c>
      <c r="V18" s="10">
        <v>0</v>
      </c>
      <c r="W18" s="10">
        <v>0</v>
      </c>
      <c r="X18" s="12">
        <v>19999800</v>
      </c>
      <c r="Y18" s="12">
        <v>15</v>
      </c>
      <c r="Z18" s="12">
        <v>0.8</v>
      </c>
      <c r="AA18" s="12">
        <f>表1[[#This Row],[战斗中缩放]]*0.3</f>
        <v>0.24</v>
      </c>
      <c r="AB18" s="17">
        <v>0</v>
      </c>
      <c r="AC18" s="6">
        <v>1</v>
      </c>
      <c r="AD18" s="6">
        <v>0</v>
      </c>
      <c r="AE18" s="6">
        <v>0</v>
      </c>
      <c r="AF18" s="6">
        <v>0</v>
      </c>
      <c r="AG18" s="6">
        <v>0</v>
      </c>
      <c r="AH18" s="6">
        <v>1</v>
      </c>
      <c r="AI18" s="6" t="s">
        <v>213</v>
      </c>
      <c r="AJ18" s="6" t="str">
        <f>"[""w" &amp; 500+表1[[#This Row],[id]]&amp;""","&amp;MIN(INT(表1[[#This Row],[售价钻石]]^0.6/10+1)*10,150)&amp;"]"</f>
        <v>["w515",150]</v>
      </c>
      <c r="AK18" s="6">
        <v>0</v>
      </c>
      <c r="AL18" s="6">
        <v>0</v>
      </c>
    </row>
    <row r="19" spans="1:38" s="6" customFormat="1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38" s="6" customFormat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38" s="6" customFormat="1" x14ac:dyDescent="0.35">
      <c r="A21"/>
      <c r="B21"/>
      <c r="C21"/>
      <c r="D21"/>
      <c r="E21"/>
      <c r="F21"/>
      <c r="G21"/>
      <c r="H21"/>
      <c r="I21"/>
      <c r="J21"/>
      <c r="L21"/>
      <c r="M21"/>
      <c r="N21"/>
      <c r="O21"/>
      <c r="P21"/>
      <c r="Q21"/>
      <c r="R21"/>
      <c r="S21"/>
      <c r="T21"/>
      <c r="U21"/>
      <c r="V21"/>
      <c r="W21"/>
    </row>
    <row r="22" spans="1:38" s="6" customFormat="1" x14ac:dyDescent="0.35">
      <c r="A22"/>
      <c r="B22"/>
      <c r="C22"/>
      <c r="D22"/>
      <c r="E22"/>
      <c r="F22"/>
      <c r="G22"/>
      <c r="H22"/>
      <c r="I22"/>
      <c r="J22"/>
      <c r="L22"/>
      <c r="M22"/>
      <c r="N22"/>
      <c r="O22"/>
      <c r="P22"/>
      <c r="Q22"/>
      <c r="R22"/>
      <c r="S22"/>
      <c r="T22"/>
      <c r="U22"/>
      <c r="V22"/>
      <c r="W22"/>
    </row>
    <row r="23" spans="1:38" s="6" customFormat="1" x14ac:dyDescent="0.35">
      <c r="A23"/>
      <c r="B23"/>
      <c r="C23"/>
      <c r="D23"/>
      <c r="E23"/>
      <c r="F23"/>
      <c r="G23"/>
      <c r="H23"/>
      <c r="I23"/>
      <c r="J23"/>
      <c r="L23"/>
      <c r="M23"/>
      <c r="N23"/>
      <c r="O23"/>
      <c r="P23"/>
      <c r="Q23"/>
      <c r="R23"/>
      <c r="S23"/>
      <c r="T23"/>
      <c r="U23"/>
      <c r="V23"/>
      <c r="W23"/>
    </row>
    <row r="24" spans="1:38" s="6" customFormat="1" x14ac:dyDescent="0.35">
      <c r="A24"/>
      <c r="B24"/>
      <c r="C24"/>
      <c r="D24"/>
      <c r="E24"/>
      <c r="F24"/>
      <c r="H24"/>
      <c r="I24" s="15"/>
      <c r="J24"/>
      <c r="L24"/>
      <c r="M24"/>
      <c r="N24"/>
      <c r="O24"/>
      <c r="P24"/>
      <c r="Q24"/>
      <c r="R24"/>
      <c r="S24"/>
      <c r="T24"/>
      <c r="U24"/>
      <c r="V24"/>
      <c r="W24"/>
    </row>
    <row r="25" spans="1:38" s="6" customFormat="1" x14ac:dyDescent="0.35">
      <c r="A25"/>
      <c r="B25"/>
      <c r="C25"/>
      <c r="D25"/>
      <c r="E25"/>
      <c r="F25"/>
      <c r="G25"/>
      <c r="H25"/>
      <c r="I25" s="15"/>
      <c r="J25" s="15"/>
      <c r="L25"/>
      <c r="M25"/>
      <c r="N25"/>
      <c r="O25"/>
      <c r="P25"/>
      <c r="Q25"/>
      <c r="R25"/>
      <c r="S25"/>
      <c r="T25"/>
      <c r="U25"/>
      <c r="V25"/>
      <c r="W25"/>
    </row>
    <row r="26" spans="1:38" s="7" customFormat="1" x14ac:dyDescent="0.35">
      <c r="A26"/>
      <c r="B26"/>
      <c r="C26"/>
      <c r="D26"/>
      <c r="E26"/>
      <c r="F26"/>
      <c r="G26"/>
      <c r="H26"/>
      <c r="I26"/>
      <c r="J26"/>
      <c r="L26"/>
      <c r="M26"/>
      <c r="N26"/>
      <c r="O26"/>
      <c r="P26"/>
      <c r="Q26"/>
      <c r="R26"/>
      <c r="S26"/>
      <c r="T26"/>
      <c r="U26"/>
      <c r="V26"/>
      <c r="W2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8" x14ac:dyDescent="0.35">
      <c r="A27"/>
      <c r="B27"/>
      <c r="C27"/>
      <c r="D27"/>
      <c r="E27"/>
      <c r="F27"/>
      <c r="G27"/>
      <c r="H27"/>
      <c r="I27"/>
      <c r="J27"/>
      <c r="L27"/>
      <c r="M27"/>
      <c r="N27"/>
      <c r="O27"/>
      <c r="P27"/>
      <c r="Q27"/>
      <c r="R27"/>
      <c r="S27"/>
      <c r="T27"/>
      <c r="U27"/>
      <c r="V27"/>
      <c r="W27"/>
      <c r="X27" s="7"/>
      <c r="Y27" s="7"/>
      <c r="Z27" s="7"/>
      <c r="AA27" s="7"/>
      <c r="AB27" s="7"/>
      <c r="AC27" s="7"/>
      <c r="AD27" s="7"/>
      <c r="AE27" s="7"/>
      <c r="AF27" s="7"/>
      <c r="AG27" s="7"/>
    </row>
    <row r="28" spans="1:38" x14ac:dyDescent="0.35">
      <c r="Q28"/>
      <c r="R28"/>
    </row>
    <row r="29" spans="1:38" x14ac:dyDescent="0.35">
      <c r="Q29"/>
      <c r="R29"/>
    </row>
    <row r="30" spans="1:38" x14ac:dyDescent="0.35">
      <c r="Q30"/>
      <c r="R30"/>
    </row>
    <row r="31" spans="1:38" x14ac:dyDescent="0.35">
      <c r="Q31"/>
      <c r="R31"/>
    </row>
    <row r="32" spans="1:38" x14ac:dyDescent="0.35">
      <c r="Q32"/>
      <c r="R32"/>
    </row>
    <row r="33" spans="17:18" x14ac:dyDescent="0.35">
      <c r="Q33"/>
      <c r="R33"/>
    </row>
    <row r="34" spans="17:18" x14ac:dyDescent="0.35">
      <c r="Q34"/>
      <c r="R34"/>
    </row>
    <row r="35" spans="17:18" x14ac:dyDescent="0.35">
      <c r="Q35"/>
      <c r="R35"/>
    </row>
    <row r="36" spans="17:18" x14ac:dyDescent="0.35">
      <c r="Q36"/>
      <c r="R36"/>
    </row>
    <row r="37" spans="17:18" x14ac:dyDescent="0.35">
      <c r="Q37"/>
      <c r="R37"/>
    </row>
    <row r="38" spans="17:18" x14ac:dyDescent="0.35">
      <c r="Q38"/>
      <c r="R38"/>
    </row>
    <row r="39" spans="17:18" x14ac:dyDescent="0.35">
      <c r="Q39"/>
      <c r="R39"/>
    </row>
    <row r="40" spans="17:18" x14ac:dyDescent="0.35">
      <c r="Q40"/>
      <c r="R40"/>
    </row>
    <row r="41" spans="17:18" x14ac:dyDescent="0.35">
      <c r="Q41"/>
      <c r="R41"/>
    </row>
    <row r="42" spans="17:18" x14ac:dyDescent="0.35">
      <c r="Q42"/>
      <c r="R42"/>
    </row>
    <row r="43" spans="17:18" x14ac:dyDescent="0.35">
      <c r="Q43"/>
      <c r="R43"/>
    </row>
    <row r="44" spans="17:18" x14ac:dyDescent="0.35">
      <c r="Q44"/>
      <c r="R44"/>
    </row>
    <row r="45" spans="17:18" x14ac:dyDescent="0.35">
      <c r="Q45"/>
      <c r="R45"/>
    </row>
    <row r="46" spans="17:18" x14ac:dyDescent="0.35">
      <c r="Q46"/>
      <c r="R46"/>
    </row>
    <row r="47" spans="17:18" x14ac:dyDescent="0.35">
      <c r="Q47"/>
      <c r="R47"/>
    </row>
    <row r="48" spans="17:18" x14ac:dyDescent="0.35">
      <c r="Q48"/>
      <c r="R48"/>
    </row>
    <row r="49" spans="17:18" x14ac:dyDescent="0.35">
      <c r="Q49"/>
      <c r="R49"/>
    </row>
    <row r="50" spans="17:18" x14ac:dyDescent="0.35">
      <c r="Q50"/>
      <c r="R50"/>
    </row>
    <row r="51" spans="17:18" x14ac:dyDescent="0.35">
      <c r="Q51"/>
      <c r="R51"/>
    </row>
  </sheetData>
  <phoneticPr fontId="7" type="noConversion"/>
  <dataValidations disablePrompts="1" count="2">
    <dataValidation allowBlank="1" showInputMessage="1" showErrorMessage="1" promptTitle="[伤害倍率，每发子弹消耗的金币倍率，奖励倍率]" prompt="战斗内开炮最终命中*此系数_x000a_战斗内开炮消耗金币*此系数，向下取整_x000a_战斗内捕鱼获得金币*此系数，向下取整" sqref="S3" xr:uid="{00000000-0002-0000-0100-000000000000}"/>
    <dataValidation allowBlank="1" showInputMessage="1" showErrorMessage="1" promptTitle="每个皮肤所代表的意思————————————" prompt="泡泡膛，x%概率额外发泡_x000a_孤狼，激光最小长度，最大长度_x000a_电玩，奖金加成比例_x000a_霜之哀伤，减速比例_x000a_赤炎，降低鱼的分值数" sqref="R3" xr:uid="{00000000-0002-0000-0100-000001000000}"/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70"/>
  <sheetViews>
    <sheetView tabSelected="1" workbookViewId="0">
      <pane xSplit="2" ySplit="3" topLeftCell="C4" activePane="bottomRight" state="frozenSplit"/>
      <selection pane="topRight" activeCell="C1" sqref="C1"/>
      <selection pane="bottomLeft" activeCell="A4" sqref="A4"/>
      <selection pane="bottomRight" activeCell="G13" sqref="G13"/>
    </sheetView>
  </sheetViews>
  <sheetFormatPr defaultColWidth="9" defaultRowHeight="13.5" x14ac:dyDescent="0.15"/>
  <cols>
    <col min="1" max="1" width="13.375" style="26" customWidth="1"/>
    <col min="2" max="2" width="13.625" style="26" bestFit="1" customWidth="1"/>
    <col min="3" max="3" width="7.75" style="26" bestFit="1" customWidth="1"/>
    <col min="4" max="4" width="11.5" style="26" customWidth="1"/>
    <col min="5" max="5" width="57.125" style="26" bestFit="1" customWidth="1"/>
    <col min="6" max="6" width="10.75" style="26" customWidth="1"/>
    <col min="7" max="7" width="13.125" style="26" customWidth="1"/>
    <col min="8" max="8" width="14.25" style="26" customWidth="1"/>
    <col min="9" max="9" width="10.875" style="26" customWidth="1"/>
    <col min="10" max="10" width="18.125" style="26" customWidth="1"/>
    <col min="11" max="16384" width="9" style="26"/>
  </cols>
  <sheetData>
    <row r="1" spans="1:11" ht="17.25" x14ac:dyDescent="0.35">
      <c r="A1" s="22" t="s">
        <v>88</v>
      </c>
      <c r="B1" s="23" t="s">
        <v>182</v>
      </c>
      <c r="C1" s="23" t="s">
        <v>200</v>
      </c>
      <c r="D1" s="23" t="s">
        <v>100</v>
      </c>
      <c r="E1" s="23" t="s">
        <v>101</v>
      </c>
      <c r="F1" s="23" t="s">
        <v>255</v>
      </c>
      <c r="G1" s="23" t="s">
        <v>89</v>
      </c>
      <c r="H1" s="24" t="s">
        <v>90</v>
      </c>
      <c r="I1" s="25" t="s">
        <v>91</v>
      </c>
      <c r="J1" s="25" t="s">
        <v>92</v>
      </c>
    </row>
    <row r="2" spans="1:11" ht="16.5" x14ac:dyDescent="0.15">
      <c r="A2" s="27" t="s">
        <v>31</v>
      </c>
      <c r="B2" s="28" t="s">
        <v>181</v>
      </c>
      <c r="C2" s="28" t="s">
        <v>201</v>
      </c>
      <c r="D2" s="28" t="s">
        <v>33</v>
      </c>
      <c r="E2" s="28" t="s">
        <v>256</v>
      </c>
      <c r="F2" s="28" t="s">
        <v>107</v>
      </c>
      <c r="G2" s="28" t="s">
        <v>106</v>
      </c>
      <c r="H2" s="29" t="s">
        <v>33</v>
      </c>
      <c r="I2" s="29" t="s">
        <v>33</v>
      </c>
      <c r="J2" s="29" t="s">
        <v>33</v>
      </c>
    </row>
    <row r="3" spans="1:11" x14ac:dyDescent="0.15">
      <c r="A3" s="26" t="s">
        <v>93</v>
      </c>
      <c r="B3" s="26" t="s">
        <v>94</v>
      </c>
      <c r="C3" s="30" t="s">
        <v>202</v>
      </c>
      <c r="D3" s="30" t="s">
        <v>104</v>
      </c>
      <c r="E3" s="30" t="s">
        <v>99</v>
      </c>
      <c r="F3" s="30" t="s">
        <v>103</v>
      </c>
      <c r="G3" s="26" t="s">
        <v>95</v>
      </c>
      <c r="H3" s="31" t="s">
        <v>96</v>
      </c>
      <c r="I3" s="26" t="s">
        <v>97</v>
      </c>
      <c r="J3" s="26" t="s">
        <v>98</v>
      </c>
      <c r="K3" s="26" t="s">
        <v>175</v>
      </c>
    </row>
    <row r="4" spans="1:11" x14ac:dyDescent="0.15">
      <c r="A4" s="26" t="str">
        <f>""&amp;B4</f>
        <v>1</v>
      </c>
      <c r="B4" s="26">
        <v>1</v>
      </c>
      <c r="C4" s="32">
        <v>20</v>
      </c>
      <c r="D4" s="26">
        <v>0</v>
      </c>
      <c r="E4" s="30" t="s">
        <v>102</v>
      </c>
      <c r="F4" s="26">
        <v>1</v>
      </c>
      <c r="G4" s="26">
        <v>0.93500000000000005</v>
      </c>
      <c r="H4" s="31">
        <f>0</f>
        <v>0</v>
      </c>
      <c r="I4" s="26">
        <v>4000</v>
      </c>
      <c r="J4" s="26">
        <v>1</v>
      </c>
      <c r="K4" s="26">
        <f>表3[[#This Row],[炮几率]]+0.015</f>
        <v>0.95000000000000007</v>
      </c>
    </row>
    <row r="5" spans="1:11" x14ac:dyDescent="0.15">
      <c r="A5" s="26" t="str">
        <f>""&amp;B5</f>
        <v>5</v>
      </c>
      <c r="B5" s="26">
        <v>5</v>
      </c>
      <c r="C5" s="32">
        <v>40</v>
      </c>
      <c r="D5" s="26">
        <v>10</v>
      </c>
      <c r="E5" s="30" t="s">
        <v>102</v>
      </c>
      <c r="F5" s="26">
        <v>1</v>
      </c>
      <c r="G5" s="26">
        <v>0.93500000000000005</v>
      </c>
      <c r="H5" s="31">
        <f>0</f>
        <v>0</v>
      </c>
      <c r="I5" s="26">
        <v>4000</v>
      </c>
      <c r="J5" s="26">
        <v>1</v>
      </c>
      <c r="K5" s="26">
        <f>表3[[#This Row],[炮几率]]+0.015</f>
        <v>0.95000000000000007</v>
      </c>
    </row>
    <row r="6" spans="1:11" x14ac:dyDescent="0.15">
      <c r="A6" s="26" t="str">
        <f t="shared" ref="A6:A41" si="0">""&amp;B6</f>
        <v>10</v>
      </c>
      <c r="B6" s="26">
        <v>10</v>
      </c>
      <c r="C6" s="32">
        <v>60</v>
      </c>
      <c r="D6" s="26">
        <v>12</v>
      </c>
      <c r="E6" s="30" t="s">
        <v>102</v>
      </c>
      <c r="F6" s="26">
        <v>1</v>
      </c>
      <c r="G6" s="26">
        <v>0.93500000000000005</v>
      </c>
      <c r="H6" s="31">
        <f>0</f>
        <v>0</v>
      </c>
      <c r="I6" s="26">
        <v>4000</v>
      </c>
      <c r="J6" s="26">
        <v>1</v>
      </c>
      <c r="K6" s="26">
        <f>表3[[#This Row],[炮几率]]+0.015</f>
        <v>0.95000000000000007</v>
      </c>
    </row>
    <row r="7" spans="1:11" x14ac:dyDescent="0.15">
      <c r="A7" s="26" t="str">
        <f t="shared" si="0"/>
        <v>20</v>
      </c>
      <c r="B7" s="26">
        <v>20</v>
      </c>
      <c r="C7" s="32">
        <v>80</v>
      </c>
      <c r="D7" s="26">
        <v>16</v>
      </c>
      <c r="E7" s="30" t="s">
        <v>102</v>
      </c>
      <c r="F7" s="26">
        <v>1</v>
      </c>
      <c r="G7" s="26">
        <v>0.93500000000000005</v>
      </c>
      <c r="H7" s="31">
        <f>0</f>
        <v>0</v>
      </c>
      <c r="I7" s="26">
        <v>4000</v>
      </c>
      <c r="J7" s="26">
        <v>1</v>
      </c>
      <c r="K7" s="26">
        <f>表3[[#This Row],[炮几率]]+0.015</f>
        <v>0.95000000000000007</v>
      </c>
    </row>
    <row r="8" spans="1:11" x14ac:dyDescent="0.15">
      <c r="A8" s="26" t="str">
        <f t="shared" si="0"/>
        <v>30</v>
      </c>
      <c r="B8" s="26">
        <v>30</v>
      </c>
      <c r="C8" s="32">
        <v>100</v>
      </c>
      <c r="D8" s="26">
        <v>20</v>
      </c>
      <c r="E8" s="30" t="s">
        <v>102</v>
      </c>
      <c r="F8" s="26">
        <v>1</v>
      </c>
      <c r="G8" s="26">
        <v>0.93500000000000005</v>
      </c>
      <c r="H8" s="31">
        <f>0</f>
        <v>0</v>
      </c>
      <c r="I8" s="26">
        <v>4000</v>
      </c>
      <c r="J8" s="26">
        <v>1</v>
      </c>
      <c r="K8" s="26">
        <f>表3[[#This Row],[炮几率]]+0.015</f>
        <v>0.95000000000000007</v>
      </c>
    </row>
    <row r="9" spans="1:11" x14ac:dyDescent="0.15">
      <c r="A9" s="26" t="str">
        <f t="shared" si="0"/>
        <v>40</v>
      </c>
      <c r="B9" s="26">
        <v>40</v>
      </c>
      <c r="C9" s="32">
        <v>120</v>
      </c>
      <c r="D9" s="26">
        <v>22</v>
      </c>
      <c r="E9" s="30" t="s">
        <v>102</v>
      </c>
      <c r="F9" s="26">
        <v>1</v>
      </c>
      <c r="G9" s="26">
        <v>0.93500000000000005</v>
      </c>
      <c r="H9" s="31">
        <f>0</f>
        <v>0</v>
      </c>
      <c r="I9" s="26">
        <v>4000</v>
      </c>
      <c r="J9" s="26">
        <v>1</v>
      </c>
      <c r="K9" s="26">
        <f>表3[[#This Row],[炮几率]]+0.015</f>
        <v>0.95000000000000007</v>
      </c>
    </row>
    <row r="10" spans="1:11" x14ac:dyDescent="0.15">
      <c r="A10" s="26" t="str">
        <f t="shared" si="0"/>
        <v>50</v>
      </c>
      <c r="B10" s="26">
        <v>50</v>
      </c>
      <c r="C10" s="32">
        <v>140</v>
      </c>
      <c r="D10" s="26">
        <v>24</v>
      </c>
      <c r="E10" s="30" t="s">
        <v>102</v>
      </c>
      <c r="F10" s="26">
        <v>1</v>
      </c>
      <c r="G10" s="26">
        <v>0.93500000000000005</v>
      </c>
      <c r="H10" s="31">
        <f>0</f>
        <v>0</v>
      </c>
      <c r="I10" s="26">
        <v>4000</v>
      </c>
      <c r="J10" s="26">
        <v>1</v>
      </c>
      <c r="K10" s="26">
        <f>表3[[#This Row],[炮几率]]+0.015</f>
        <v>0.95000000000000007</v>
      </c>
    </row>
    <row r="11" spans="1:11" x14ac:dyDescent="0.15">
      <c r="A11" s="26" t="str">
        <f t="shared" si="0"/>
        <v>60</v>
      </c>
      <c r="B11" s="26">
        <v>60</v>
      </c>
      <c r="C11" s="32">
        <v>160</v>
      </c>
      <c r="D11" s="26">
        <v>26</v>
      </c>
      <c r="E11" s="30" t="s">
        <v>102</v>
      </c>
      <c r="F11" s="26">
        <v>1</v>
      </c>
      <c r="G11" s="26">
        <v>0.93500000000000005</v>
      </c>
      <c r="H11" s="31">
        <f>0</f>
        <v>0</v>
      </c>
      <c r="I11" s="26">
        <v>4000</v>
      </c>
      <c r="J11" s="26">
        <v>1</v>
      </c>
      <c r="K11" s="26">
        <f>表3[[#This Row],[炮几率]]+0.015</f>
        <v>0.95000000000000007</v>
      </c>
    </row>
    <row r="12" spans="1:11" x14ac:dyDescent="0.15">
      <c r="A12" s="26" t="str">
        <f t="shared" si="0"/>
        <v>70</v>
      </c>
      <c r="B12" s="26">
        <v>70</v>
      </c>
      <c r="C12" s="32">
        <v>180</v>
      </c>
      <c r="D12" s="26">
        <v>28</v>
      </c>
      <c r="E12" s="30" t="s">
        <v>102</v>
      </c>
      <c r="F12" s="26">
        <v>1</v>
      </c>
      <c r="G12" s="26">
        <v>0.93500000000000005</v>
      </c>
      <c r="H12" s="31">
        <f>0</f>
        <v>0</v>
      </c>
      <c r="I12" s="26">
        <v>4000</v>
      </c>
      <c r="J12" s="26">
        <v>1</v>
      </c>
      <c r="K12" s="26">
        <f>表3[[#This Row],[炮几率]]+0.015</f>
        <v>0.95000000000000007</v>
      </c>
    </row>
    <row r="13" spans="1:11" x14ac:dyDescent="0.15">
      <c r="A13" s="26" t="str">
        <f t="shared" si="0"/>
        <v>80</v>
      </c>
      <c r="B13" s="26">
        <v>80</v>
      </c>
      <c r="C13" s="32">
        <v>200</v>
      </c>
      <c r="D13" s="26">
        <v>30</v>
      </c>
      <c r="E13" s="30" t="s">
        <v>102</v>
      </c>
      <c r="F13" s="26">
        <v>1</v>
      </c>
      <c r="G13" s="26">
        <v>0.93500000000000005</v>
      </c>
      <c r="H13" s="31">
        <f>0</f>
        <v>0</v>
      </c>
      <c r="I13" s="26">
        <v>4000</v>
      </c>
      <c r="J13" s="26">
        <v>1</v>
      </c>
      <c r="K13" s="26">
        <f>表3[[#This Row],[炮几率]]+0.015</f>
        <v>0.95000000000000007</v>
      </c>
    </row>
    <row r="14" spans="1:11" x14ac:dyDescent="0.15">
      <c r="A14" s="26" t="str">
        <f t="shared" si="0"/>
        <v>90</v>
      </c>
      <c r="B14" s="26">
        <v>90</v>
      </c>
      <c r="C14" s="32">
        <v>220</v>
      </c>
      <c r="D14" s="26">
        <v>32</v>
      </c>
      <c r="E14" s="30" t="s">
        <v>102</v>
      </c>
      <c r="F14" s="26">
        <v>1</v>
      </c>
      <c r="G14" s="26">
        <v>0.93500000000000005</v>
      </c>
      <c r="H14" s="31">
        <f>0</f>
        <v>0</v>
      </c>
      <c r="I14" s="26">
        <v>4000</v>
      </c>
      <c r="J14" s="26">
        <v>1</v>
      </c>
      <c r="K14" s="26">
        <f>表3[[#This Row],[炮几率]]+0.015</f>
        <v>0.95000000000000007</v>
      </c>
    </row>
    <row r="15" spans="1:11" x14ac:dyDescent="0.15">
      <c r="A15" s="26" t="str">
        <f t="shared" si="0"/>
        <v>100</v>
      </c>
      <c r="B15" s="26">
        <v>100</v>
      </c>
      <c r="C15" s="32">
        <v>240</v>
      </c>
      <c r="D15" s="26">
        <v>36</v>
      </c>
      <c r="E15" s="30" t="s">
        <v>102</v>
      </c>
      <c r="F15" s="26">
        <v>1</v>
      </c>
      <c r="G15" s="26">
        <v>0.93</v>
      </c>
      <c r="H15" s="31">
        <f>0</f>
        <v>0</v>
      </c>
      <c r="I15" s="26">
        <v>4000</v>
      </c>
      <c r="J15" s="26">
        <v>1</v>
      </c>
      <c r="K15" s="26">
        <f>表3[[#This Row],[炮几率]]+0.015</f>
        <v>0.94500000000000006</v>
      </c>
    </row>
    <row r="16" spans="1:11" x14ac:dyDescent="0.15">
      <c r="A16" s="26" t="str">
        <f t="shared" si="0"/>
        <v>120</v>
      </c>
      <c r="B16" s="26">
        <v>120</v>
      </c>
      <c r="C16" s="32">
        <v>280</v>
      </c>
      <c r="D16" s="26">
        <v>60</v>
      </c>
      <c r="E16" s="30" t="s">
        <v>102</v>
      </c>
      <c r="F16" s="26">
        <v>1</v>
      </c>
      <c r="G16" s="26">
        <v>0.93</v>
      </c>
      <c r="H16" s="31">
        <f>0</f>
        <v>0</v>
      </c>
      <c r="I16" s="26">
        <v>4000</v>
      </c>
      <c r="J16" s="26">
        <v>1</v>
      </c>
      <c r="K16" s="26">
        <f>表3[[#This Row],[炮几率]]+0.015</f>
        <v>0.94500000000000006</v>
      </c>
    </row>
    <row r="17" spans="1:13" x14ac:dyDescent="0.15">
      <c r="A17" s="26" t="str">
        <f t="shared" si="0"/>
        <v>140</v>
      </c>
      <c r="B17" s="26">
        <v>140</v>
      </c>
      <c r="C17" s="32">
        <v>320</v>
      </c>
      <c r="D17" s="26">
        <v>70</v>
      </c>
      <c r="E17" s="30" t="s">
        <v>102</v>
      </c>
      <c r="F17" s="26">
        <v>1</v>
      </c>
      <c r="G17" s="26">
        <v>0.93</v>
      </c>
      <c r="H17" s="31">
        <f>0</f>
        <v>0</v>
      </c>
      <c r="I17" s="26">
        <v>4000</v>
      </c>
      <c r="J17" s="26">
        <v>1</v>
      </c>
      <c r="K17" s="26">
        <f>表3[[#This Row],[炮几率]]+0.015</f>
        <v>0.94500000000000006</v>
      </c>
    </row>
    <row r="18" spans="1:13" x14ac:dyDescent="0.15">
      <c r="A18" s="26" t="str">
        <f t="shared" si="0"/>
        <v>160</v>
      </c>
      <c r="B18" s="26">
        <v>160</v>
      </c>
      <c r="C18" s="32">
        <v>360</v>
      </c>
      <c r="D18" s="26">
        <v>80</v>
      </c>
      <c r="E18" s="30" t="s">
        <v>102</v>
      </c>
      <c r="F18" s="26">
        <v>1</v>
      </c>
      <c r="G18" s="26">
        <v>0.93</v>
      </c>
      <c r="H18" s="31">
        <f>0</f>
        <v>0</v>
      </c>
      <c r="I18" s="26">
        <v>4000</v>
      </c>
      <c r="J18" s="26">
        <v>1</v>
      </c>
      <c r="K18" s="26">
        <f>表3[[#This Row],[炮几率]]+0.015</f>
        <v>0.94500000000000006</v>
      </c>
      <c r="M18" s="30"/>
    </row>
    <row r="19" spans="1:13" x14ac:dyDescent="0.15">
      <c r="A19" s="26" t="str">
        <f t="shared" si="0"/>
        <v>180</v>
      </c>
      <c r="B19" s="26">
        <v>180</v>
      </c>
      <c r="C19" s="32">
        <v>400</v>
      </c>
      <c r="D19" s="26">
        <v>90</v>
      </c>
      <c r="E19" s="30" t="s">
        <v>102</v>
      </c>
      <c r="F19" s="26">
        <v>1</v>
      </c>
      <c r="G19" s="26">
        <v>0.93</v>
      </c>
      <c r="H19" s="31">
        <f>0</f>
        <v>0</v>
      </c>
      <c r="I19" s="26">
        <v>4000</v>
      </c>
      <c r="J19" s="26">
        <v>1</v>
      </c>
      <c r="K19" s="26">
        <f>表3[[#This Row],[炮几率]]+0.015</f>
        <v>0.94500000000000006</v>
      </c>
    </row>
    <row r="20" spans="1:13" x14ac:dyDescent="0.15">
      <c r="A20" s="26" t="str">
        <f t="shared" si="0"/>
        <v>200</v>
      </c>
      <c r="B20" s="26">
        <v>200</v>
      </c>
      <c r="C20" s="32">
        <v>440</v>
      </c>
      <c r="D20" s="26">
        <v>100</v>
      </c>
      <c r="E20" s="30" t="s">
        <v>102</v>
      </c>
      <c r="F20" s="26">
        <v>1</v>
      </c>
      <c r="G20" s="26">
        <v>0.93</v>
      </c>
      <c r="H20" s="31">
        <f>0</f>
        <v>0</v>
      </c>
      <c r="I20" s="26">
        <v>4000</v>
      </c>
      <c r="J20" s="26">
        <v>1</v>
      </c>
      <c r="K20" s="26">
        <f>表3[[#This Row],[炮几率]]+0.015</f>
        <v>0.94500000000000006</v>
      </c>
    </row>
    <row r="21" spans="1:13" x14ac:dyDescent="0.15">
      <c r="A21" s="26" t="str">
        <f t="shared" si="0"/>
        <v>250</v>
      </c>
      <c r="B21" s="26">
        <v>250</v>
      </c>
      <c r="C21" s="32">
        <v>480</v>
      </c>
      <c r="D21" s="26">
        <v>110</v>
      </c>
      <c r="E21" s="30" t="s">
        <v>102</v>
      </c>
      <c r="F21" s="26">
        <v>1</v>
      </c>
      <c r="G21" s="26">
        <v>0.93</v>
      </c>
      <c r="H21" s="31">
        <f>0</f>
        <v>0</v>
      </c>
      <c r="I21" s="26">
        <v>4000</v>
      </c>
      <c r="J21" s="26">
        <v>1</v>
      </c>
      <c r="K21" s="26">
        <f>表3[[#This Row],[炮几率]]+0.015</f>
        <v>0.94500000000000006</v>
      </c>
    </row>
    <row r="22" spans="1:13" x14ac:dyDescent="0.15">
      <c r="A22" s="26" t="str">
        <f t="shared" si="0"/>
        <v>300</v>
      </c>
      <c r="B22" s="26">
        <v>300</v>
      </c>
      <c r="C22" s="32">
        <v>520</v>
      </c>
      <c r="D22" s="26">
        <v>120</v>
      </c>
      <c r="E22" s="30" t="s">
        <v>102</v>
      </c>
      <c r="F22" s="26">
        <v>1</v>
      </c>
      <c r="G22" s="26">
        <v>0.93</v>
      </c>
      <c r="H22" s="31">
        <f>0</f>
        <v>0</v>
      </c>
      <c r="I22" s="26">
        <v>4000</v>
      </c>
      <c r="J22" s="26">
        <v>1</v>
      </c>
      <c r="K22" s="26">
        <f>表3[[#This Row],[炮几率]]+0.015</f>
        <v>0.94500000000000006</v>
      </c>
    </row>
    <row r="23" spans="1:13" x14ac:dyDescent="0.15">
      <c r="A23" s="26" t="str">
        <f t="shared" si="0"/>
        <v>350</v>
      </c>
      <c r="B23" s="26">
        <v>350</v>
      </c>
      <c r="C23" s="32">
        <v>560</v>
      </c>
      <c r="D23" s="26">
        <v>140</v>
      </c>
      <c r="E23" s="30" t="s">
        <v>102</v>
      </c>
      <c r="F23" s="26">
        <v>1</v>
      </c>
      <c r="G23" s="26">
        <v>0.93</v>
      </c>
      <c r="H23" s="31">
        <f>0</f>
        <v>0</v>
      </c>
      <c r="I23" s="26">
        <v>4000</v>
      </c>
      <c r="J23" s="26">
        <v>1</v>
      </c>
      <c r="K23" s="26">
        <f>表3[[#This Row],[炮几率]]+0.015</f>
        <v>0.94500000000000006</v>
      </c>
    </row>
    <row r="24" spans="1:13" x14ac:dyDescent="0.15">
      <c r="A24" s="26" t="str">
        <f t="shared" si="0"/>
        <v>400</v>
      </c>
      <c r="B24" s="26">
        <v>400</v>
      </c>
      <c r="C24" s="32">
        <v>600</v>
      </c>
      <c r="D24" s="26">
        <v>160</v>
      </c>
      <c r="E24" s="30" t="s">
        <v>102</v>
      </c>
      <c r="F24" s="26">
        <v>1</v>
      </c>
      <c r="G24" s="26">
        <v>0.93</v>
      </c>
      <c r="H24" s="31">
        <f>0</f>
        <v>0</v>
      </c>
      <c r="I24" s="26">
        <v>4000</v>
      </c>
      <c r="J24" s="26">
        <v>1</v>
      </c>
      <c r="K24" s="26">
        <f>表3[[#This Row],[炮几率]]+0.015</f>
        <v>0.94500000000000006</v>
      </c>
    </row>
    <row r="25" spans="1:13" x14ac:dyDescent="0.15">
      <c r="A25" s="26" t="str">
        <f t="shared" si="0"/>
        <v>450</v>
      </c>
      <c r="B25" s="26">
        <v>450</v>
      </c>
      <c r="C25" s="32">
        <v>640</v>
      </c>
      <c r="D25" s="26">
        <v>200</v>
      </c>
      <c r="E25" s="30" t="s">
        <v>102</v>
      </c>
      <c r="F25" s="26">
        <v>1</v>
      </c>
      <c r="G25" s="26">
        <v>0.93</v>
      </c>
      <c r="H25" s="31">
        <f>0</f>
        <v>0</v>
      </c>
      <c r="I25" s="26">
        <v>4000</v>
      </c>
      <c r="J25" s="26">
        <v>1</v>
      </c>
      <c r="K25" s="26">
        <f>表3[[#This Row],[炮几率]]+0.015</f>
        <v>0.94500000000000006</v>
      </c>
    </row>
    <row r="26" spans="1:13" x14ac:dyDescent="0.15">
      <c r="A26" s="26" t="str">
        <f t="shared" si="0"/>
        <v>500</v>
      </c>
      <c r="B26" s="26">
        <v>500</v>
      </c>
      <c r="C26" s="32">
        <v>680</v>
      </c>
      <c r="D26" s="26">
        <v>240</v>
      </c>
      <c r="E26" s="30" t="s">
        <v>102</v>
      </c>
      <c r="F26" s="26">
        <v>1</v>
      </c>
      <c r="G26" s="26">
        <v>0.93</v>
      </c>
      <c r="H26" s="31">
        <f>0</f>
        <v>0</v>
      </c>
      <c r="I26" s="26">
        <v>4000</v>
      </c>
      <c r="J26" s="26">
        <v>1</v>
      </c>
      <c r="K26" s="26">
        <f>表3[[#This Row],[炮几率]]+0.015</f>
        <v>0.94500000000000006</v>
      </c>
    </row>
    <row r="27" spans="1:13" x14ac:dyDescent="0.15">
      <c r="A27" s="26" t="str">
        <f t="shared" si="0"/>
        <v>550</v>
      </c>
      <c r="B27" s="26">
        <v>550</v>
      </c>
      <c r="C27" s="32">
        <v>720</v>
      </c>
      <c r="D27" s="26">
        <v>280</v>
      </c>
      <c r="E27" s="30" t="s">
        <v>102</v>
      </c>
      <c r="F27" s="26">
        <v>1</v>
      </c>
      <c r="G27" s="26">
        <v>0.93</v>
      </c>
      <c r="H27" s="31">
        <f>0</f>
        <v>0</v>
      </c>
      <c r="I27" s="26">
        <v>4000</v>
      </c>
      <c r="J27" s="26">
        <v>1</v>
      </c>
      <c r="K27" s="26">
        <f>表3[[#This Row],[炮几率]]+0.015</f>
        <v>0.94500000000000006</v>
      </c>
    </row>
    <row r="28" spans="1:13" x14ac:dyDescent="0.15">
      <c r="A28" s="26" t="str">
        <f t="shared" si="0"/>
        <v>600</v>
      </c>
      <c r="B28" s="26">
        <v>600</v>
      </c>
      <c r="C28" s="32">
        <v>760</v>
      </c>
      <c r="D28" s="26">
        <v>320</v>
      </c>
      <c r="E28" s="30" t="s">
        <v>102</v>
      </c>
      <c r="F28" s="26">
        <v>1</v>
      </c>
      <c r="G28" s="26">
        <v>0.93</v>
      </c>
      <c r="H28" s="31">
        <f>0</f>
        <v>0</v>
      </c>
      <c r="I28" s="26">
        <v>4000</v>
      </c>
      <c r="J28" s="26">
        <v>1</v>
      </c>
      <c r="K28" s="26">
        <f>表3[[#This Row],[炮几率]]+0.015</f>
        <v>0.94500000000000006</v>
      </c>
    </row>
    <row r="29" spans="1:13" x14ac:dyDescent="0.15">
      <c r="A29" s="26" t="str">
        <f t="shared" si="0"/>
        <v>650</v>
      </c>
      <c r="B29" s="26">
        <v>650</v>
      </c>
      <c r="C29" s="32">
        <v>840</v>
      </c>
      <c r="D29" s="26">
        <v>360</v>
      </c>
      <c r="E29" s="30" t="s">
        <v>102</v>
      </c>
      <c r="F29" s="26">
        <v>1</v>
      </c>
      <c r="G29" s="26">
        <v>0.92500000000000004</v>
      </c>
      <c r="H29" s="31">
        <f>0</f>
        <v>0</v>
      </c>
      <c r="I29" s="26">
        <v>4000</v>
      </c>
      <c r="J29" s="26">
        <v>1</v>
      </c>
      <c r="K29" s="26">
        <f>表3[[#This Row],[炮几率]]+0.015</f>
        <v>0.94000000000000006</v>
      </c>
    </row>
    <row r="30" spans="1:13" x14ac:dyDescent="0.15">
      <c r="A30" s="26" t="str">
        <f t="shared" si="0"/>
        <v>700</v>
      </c>
      <c r="B30" s="26">
        <v>700</v>
      </c>
      <c r="C30" s="32">
        <v>920</v>
      </c>
      <c r="D30" s="26">
        <v>400</v>
      </c>
      <c r="E30" s="30" t="s">
        <v>102</v>
      </c>
      <c r="F30" s="26">
        <v>1</v>
      </c>
      <c r="G30" s="26">
        <v>0.92500000000000004</v>
      </c>
      <c r="H30" s="31">
        <f>0</f>
        <v>0</v>
      </c>
      <c r="I30" s="26">
        <v>4000</v>
      </c>
      <c r="J30" s="26">
        <v>1</v>
      </c>
      <c r="K30" s="26">
        <f>表3[[#This Row],[炮几率]]+0.015</f>
        <v>0.94000000000000006</v>
      </c>
    </row>
    <row r="31" spans="1:13" x14ac:dyDescent="0.15">
      <c r="A31" s="26" t="str">
        <f t="shared" si="0"/>
        <v>750</v>
      </c>
      <c r="B31" s="26">
        <v>750</v>
      </c>
      <c r="C31" s="32">
        <v>1000</v>
      </c>
      <c r="D31" s="26">
        <v>500</v>
      </c>
      <c r="E31" s="30" t="s">
        <v>102</v>
      </c>
      <c r="F31" s="26">
        <v>1</v>
      </c>
      <c r="G31" s="26">
        <v>0.92500000000000004</v>
      </c>
      <c r="H31" s="31">
        <f>0</f>
        <v>0</v>
      </c>
      <c r="I31" s="26">
        <v>4000</v>
      </c>
      <c r="J31" s="26">
        <v>1</v>
      </c>
      <c r="K31" s="26">
        <f>表3[[#This Row],[炮几率]]+0.015</f>
        <v>0.94000000000000006</v>
      </c>
    </row>
    <row r="32" spans="1:13" x14ac:dyDescent="0.15">
      <c r="A32" s="26" t="str">
        <f t="shared" si="0"/>
        <v>800</v>
      </c>
      <c r="B32" s="26">
        <v>800</v>
      </c>
      <c r="C32" s="32">
        <v>1080</v>
      </c>
      <c r="D32" s="26">
        <v>600</v>
      </c>
      <c r="E32" s="30" t="s">
        <v>102</v>
      </c>
      <c r="F32" s="26">
        <v>1</v>
      </c>
      <c r="G32" s="26">
        <v>0.92500000000000004</v>
      </c>
      <c r="H32" s="31">
        <f>0</f>
        <v>0</v>
      </c>
      <c r="I32" s="26">
        <v>4000</v>
      </c>
      <c r="J32" s="26">
        <v>1</v>
      </c>
      <c r="K32" s="26">
        <f>表3[[#This Row],[炮几率]]+0.015</f>
        <v>0.94000000000000006</v>
      </c>
    </row>
    <row r="33" spans="1:11" x14ac:dyDescent="0.15">
      <c r="A33" s="26" t="str">
        <f t="shared" si="0"/>
        <v>850</v>
      </c>
      <c r="B33" s="26">
        <v>850</v>
      </c>
      <c r="C33" s="32">
        <v>1160</v>
      </c>
      <c r="D33" s="26">
        <v>700</v>
      </c>
      <c r="E33" s="30" t="s">
        <v>102</v>
      </c>
      <c r="F33" s="26">
        <v>1</v>
      </c>
      <c r="G33" s="26">
        <v>0.92500000000000004</v>
      </c>
      <c r="H33" s="31">
        <f>0</f>
        <v>0</v>
      </c>
      <c r="I33" s="26">
        <v>4000</v>
      </c>
      <c r="J33" s="26">
        <v>1</v>
      </c>
      <c r="K33" s="26">
        <f>表3[[#This Row],[炮几率]]+0.015</f>
        <v>0.94000000000000006</v>
      </c>
    </row>
    <row r="34" spans="1:11" x14ac:dyDescent="0.15">
      <c r="A34" s="26" t="str">
        <f t="shared" si="0"/>
        <v>900</v>
      </c>
      <c r="B34" s="26">
        <v>900</v>
      </c>
      <c r="C34" s="32">
        <v>1240</v>
      </c>
      <c r="D34" s="26">
        <v>800</v>
      </c>
      <c r="E34" s="30" t="s">
        <v>102</v>
      </c>
      <c r="F34" s="26">
        <v>1</v>
      </c>
      <c r="G34" s="26">
        <v>0.92500000000000004</v>
      </c>
      <c r="H34" s="31">
        <f>0</f>
        <v>0</v>
      </c>
      <c r="I34" s="26">
        <v>4000</v>
      </c>
      <c r="J34" s="26">
        <v>1</v>
      </c>
      <c r="K34" s="26">
        <f>表3[[#This Row],[炮几率]]+0.015</f>
        <v>0.94000000000000006</v>
      </c>
    </row>
    <row r="35" spans="1:11" x14ac:dyDescent="0.15">
      <c r="A35" s="26" t="str">
        <f t="shared" si="0"/>
        <v>950</v>
      </c>
      <c r="B35" s="26">
        <v>950</v>
      </c>
      <c r="C35" s="32">
        <v>1320</v>
      </c>
      <c r="D35" s="26">
        <v>900</v>
      </c>
      <c r="E35" s="30" t="s">
        <v>102</v>
      </c>
      <c r="F35" s="26">
        <v>1</v>
      </c>
      <c r="G35" s="26">
        <v>0.92500000000000004</v>
      </c>
      <c r="H35" s="31">
        <f>0</f>
        <v>0</v>
      </c>
      <c r="I35" s="26">
        <v>4000</v>
      </c>
      <c r="J35" s="26">
        <v>1</v>
      </c>
      <c r="K35" s="26">
        <f>表3[[#This Row],[炮几率]]+0.015</f>
        <v>0.94000000000000006</v>
      </c>
    </row>
    <row r="36" spans="1:11" x14ac:dyDescent="0.15">
      <c r="A36" s="26" t="str">
        <f t="shared" si="0"/>
        <v>1000</v>
      </c>
      <c r="B36" s="26">
        <v>1000</v>
      </c>
      <c r="C36" s="32">
        <v>1400</v>
      </c>
      <c r="D36" s="26">
        <v>1000</v>
      </c>
      <c r="E36" s="30" t="s">
        <v>102</v>
      </c>
      <c r="F36" s="26">
        <v>1</v>
      </c>
      <c r="G36" s="26">
        <v>0.92500000000000004</v>
      </c>
      <c r="H36" s="31">
        <f>0</f>
        <v>0</v>
      </c>
      <c r="I36" s="26">
        <v>4000</v>
      </c>
      <c r="J36" s="26">
        <v>1</v>
      </c>
      <c r="K36" s="26">
        <f>表3[[#This Row],[炮几率]]+0.015</f>
        <v>0.94000000000000006</v>
      </c>
    </row>
    <row r="37" spans="1:11" x14ac:dyDescent="0.15">
      <c r="A37" s="26" t="str">
        <f t="shared" si="0"/>
        <v>1100</v>
      </c>
      <c r="B37" s="26">
        <v>1100</v>
      </c>
      <c r="C37" s="32">
        <v>1600</v>
      </c>
      <c r="D37" s="26">
        <v>600</v>
      </c>
      <c r="E37" s="30" t="s">
        <v>105</v>
      </c>
      <c r="F37" s="26">
        <v>1</v>
      </c>
      <c r="G37" s="26">
        <v>0.92500000000000004</v>
      </c>
      <c r="H37" s="31">
        <f>0</f>
        <v>0</v>
      </c>
      <c r="I37" s="26">
        <v>4000</v>
      </c>
      <c r="J37" s="26">
        <v>1</v>
      </c>
      <c r="K37" s="26">
        <f>表3[[#This Row],[炮几率]]+0.015</f>
        <v>0.94000000000000006</v>
      </c>
    </row>
    <row r="38" spans="1:11" x14ac:dyDescent="0.15">
      <c r="A38" s="26" t="str">
        <f t="shared" si="0"/>
        <v>1200</v>
      </c>
      <c r="B38" s="26">
        <v>1200</v>
      </c>
      <c r="C38" s="32">
        <v>1800</v>
      </c>
      <c r="D38" s="26">
        <v>700</v>
      </c>
      <c r="E38" s="30" t="s">
        <v>110</v>
      </c>
      <c r="F38" s="26">
        <v>0.95</v>
      </c>
      <c r="G38" s="26">
        <v>0.92500000000000004</v>
      </c>
      <c r="H38" s="31">
        <f>0</f>
        <v>0</v>
      </c>
      <c r="I38" s="26">
        <v>4000</v>
      </c>
      <c r="J38" s="26">
        <v>1</v>
      </c>
      <c r="K38" s="26">
        <f>表3[[#This Row],[炮几率]]+0.015</f>
        <v>0.94000000000000006</v>
      </c>
    </row>
    <row r="39" spans="1:11" x14ac:dyDescent="0.15">
      <c r="A39" s="26" t="str">
        <f t="shared" si="0"/>
        <v>1300</v>
      </c>
      <c r="B39" s="26">
        <v>1300</v>
      </c>
      <c r="C39" s="32">
        <v>2000</v>
      </c>
      <c r="D39" s="26">
        <v>800</v>
      </c>
      <c r="E39" s="30" t="s">
        <v>111</v>
      </c>
      <c r="F39" s="26">
        <v>0.9</v>
      </c>
      <c r="G39" s="26">
        <v>0.92500000000000004</v>
      </c>
      <c r="H39" s="31">
        <f>0</f>
        <v>0</v>
      </c>
      <c r="I39" s="26">
        <v>4000</v>
      </c>
      <c r="J39" s="26">
        <v>1</v>
      </c>
      <c r="K39" s="26">
        <f>表3[[#This Row],[炮几率]]+0.015</f>
        <v>0.94000000000000006</v>
      </c>
    </row>
    <row r="40" spans="1:11" x14ac:dyDescent="0.15">
      <c r="A40" s="26" t="str">
        <f t="shared" si="0"/>
        <v>1400</v>
      </c>
      <c r="B40" s="26">
        <v>1400</v>
      </c>
      <c r="C40" s="32">
        <v>2200</v>
      </c>
      <c r="D40" s="26">
        <v>900</v>
      </c>
      <c r="E40" s="30" t="s">
        <v>112</v>
      </c>
      <c r="F40" s="26">
        <v>0.85</v>
      </c>
      <c r="G40" s="26">
        <v>0.92500000000000004</v>
      </c>
      <c r="H40" s="31">
        <f>0</f>
        <v>0</v>
      </c>
      <c r="I40" s="26">
        <v>4000</v>
      </c>
      <c r="J40" s="26">
        <v>1</v>
      </c>
      <c r="K40" s="26">
        <f>表3[[#This Row],[炮几率]]+0.015</f>
        <v>0.94000000000000006</v>
      </c>
    </row>
    <row r="41" spans="1:11" x14ac:dyDescent="0.15">
      <c r="A41" s="26" t="str">
        <f t="shared" si="0"/>
        <v>1500</v>
      </c>
      <c r="B41" s="26">
        <v>1500</v>
      </c>
      <c r="C41" s="32">
        <v>2400</v>
      </c>
      <c r="D41" s="26">
        <v>1000</v>
      </c>
      <c r="E41" s="30" t="s">
        <v>113</v>
      </c>
      <c r="F41" s="26">
        <v>0.8</v>
      </c>
      <c r="G41" s="26">
        <v>0.92500000000000004</v>
      </c>
      <c r="H41" s="31">
        <f>0</f>
        <v>0</v>
      </c>
      <c r="I41" s="26">
        <v>4000</v>
      </c>
      <c r="J41" s="26">
        <v>1</v>
      </c>
      <c r="K41" s="26">
        <f>表3[[#This Row],[炮几率]]+0.015</f>
        <v>0.94000000000000006</v>
      </c>
    </row>
    <row r="42" spans="1:11" x14ac:dyDescent="0.15">
      <c r="A42" s="26" t="str">
        <f t="shared" ref="A42:A58" si="1">""&amp;B42</f>
        <v>2000</v>
      </c>
      <c r="B42" s="26">
        <v>2000</v>
      </c>
      <c r="C42" s="32">
        <v>2600</v>
      </c>
      <c r="D42" s="26">
        <v>1100</v>
      </c>
      <c r="E42" s="30" t="s">
        <v>263</v>
      </c>
      <c r="F42" s="26">
        <v>0.79</v>
      </c>
      <c r="G42" s="26">
        <v>0.92500000000000004</v>
      </c>
      <c r="H42" s="31">
        <f>0</f>
        <v>0</v>
      </c>
      <c r="I42" s="26">
        <v>4000</v>
      </c>
      <c r="J42" s="26">
        <v>1</v>
      </c>
      <c r="K42" s="26">
        <f>表3[[#This Row],[炮几率]]+0.015</f>
        <v>0.94000000000000006</v>
      </c>
    </row>
    <row r="43" spans="1:11" x14ac:dyDescent="0.15">
      <c r="A43" s="26" t="str">
        <f t="shared" si="1"/>
        <v>2500</v>
      </c>
      <c r="B43" s="26">
        <v>2500</v>
      </c>
      <c r="C43" s="32">
        <v>2800</v>
      </c>
      <c r="D43" s="26">
        <v>1200</v>
      </c>
      <c r="E43" s="30" t="s">
        <v>264</v>
      </c>
      <c r="F43" s="26">
        <v>0.78</v>
      </c>
      <c r="G43" s="26">
        <v>0.92</v>
      </c>
      <c r="H43" s="31">
        <f>0</f>
        <v>0</v>
      </c>
      <c r="I43" s="26">
        <v>4000</v>
      </c>
      <c r="J43" s="26">
        <v>1</v>
      </c>
      <c r="K43" s="26">
        <f>表3[[#This Row],[炮几率]]+0.015</f>
        <v>0.93500000000000005</v>
      </c>
    </row>
    <row r="44" spans="1:11" x14ac:dyDescent="0.15">
      <c r="A44" s="26" t="str">
        <f t="shared" si="1"/>
        <v>3000</v>
      </c>
      <c r="B44" s="26">
        <v>3000</v>
      </c>
      <c r="C44" s="32">
        <v>3200</v>
      </c>
      <c r="D44" s="26">
        <v>1300</v>
      </c>
      <c r="E44" s="30" t="s">
        <v>265</v>
      </c>
      <c r="F44" s="26">
        <v>0.77</v>
      </c>
      <c r="G44" s="26">
        <v>0.92</v>
      </c>
      <c r="H44" s="31">
        <f>0</f>
        <v>0</v>
      </c>
      <c r="I44" s="26">
        <v>4000</v>
      </c>
      <c r="J44" s="26">
        <v>1</v>
      </c>
      <c r="K44" s="26">
        <f>表3[[#This Row],[炮几率]]+0.015</f>
        <v>0.93500000000000005</v>
      </c>
    </row>
    <row r="45" spans="1:11" x14ac:dyDescent="0.15">
      <c r="A45" s="26" t="str">
        <f t="shared" si="1"/>
        <v>3500</v>
      </c>
      <c r="B45" s="26">
        <v>3500</v>
      </c>
      <c r="C45" s="32">
        <v>3600</v>
      </c>
      <c r="D45" s="26">
        <v>1400</v>
      </c>
      <c r="E45" s="30" t="s">
        <v>266</v>
      </c>
      <c r="F45" s="26">
        <v>0.76</v>
      </c>
      <c r="G45" s="26">
        <v>0.92</v>
      </c>
      <c r="H45" s="31">
        <f>0</f>
        <v>0</v>
      </c>
      <c r="I45" s="26">
        <v>4000</v>
      </c>
      <c r="J45" s="26">
        <v>1</v>
      </c>
      <c r="K45" s="26">
        <f>表3[[#This Row],[炮几率]]+0.015</f>
        <v>0.93500000000000005</v>
      </c>
    </row>
    <row r="46" spans="1:11" x14ac:dyDescent="0.15">
      <c r="A46" s="26" t="str">
        <f t="shared" si="1"/>
        <v>4000</v>
      </c>
      <c r="B46" s="26">
        <v>4000</v>
      </c>
      <c r="C46" s="32">
        <v>4000</v>
      </c>
      <c r="D46" s="26">
        <v>1500</v>
      </c>
      <c r="E46" s="30" t="s">
        <v>267</v>
      </c>
      <c r="F46" s="26">
        <v>0.75</v>
      </c>
      <c r="G46" s="26">
        <v>0.92</v>
      </c>
      <c r="H46" s="31">
        <f>0</f>
        <v>0</v>
      </c>
      <c r="I46" s="26">
        <v>4000</v>
      </c>
      <c r="J46" s="26">
        <v>1</v>
      </c>
      <c r="K46" s="26">
        <f>表3[[#This Row],[炮几率]]+0.015</f>
        <v>0.93500000000000005</v>
      </c>
    </row>
    <row r="47" spans="1:11" x14ac:dyDescent="0.15">
      <c r="A47" s="26" t="str">
        <f t="shared" si="1"/>
        <v>4500</v>
      </c>
      <c r="B47" s="26">
        <v>4500</v>
      </c>
      <c r="C47" s="32">
        <v>4400</v>
      </c>
      <c r="D47" s="26">
        <v>1600</v>
      </c>
      <c r="E47" s="30" t="s">
        <v>268</v>
      </c>
      <c r="F47" s="26">
        <v>0.74</v>
      </c>
      <c r="G47" s="26">
        <v>0.92</v>
      </c>
      <c r="H47" s="31">
        <f>0</f>
        <v>0</v>
      </c>
      <c r="I47" s="26">
        <v>4000</v>
      </c>
      <c r="J47" s="26">
        <v>1</v>
      </c>
      <c r="K47" s="26">
        <f>表3[[#This Row],[炮几率]]+0.015</f>
        <v>0.93500000000000005</v>
      </c>
    </row>
    <row r="48" spans="1:11" x14ac:dyDescent="0.15">
      <c r="A48" s="26" t="str">
        <f t="shared" si="1"/>
        <v>5000</v>
      </c>
      <c r="B48" s="26">
        <v>5000</v>
      </c>
      <c r="C48" s="32">
        <v>4800</v>
      </c>
      <c r="D48" s="26">
        <v>1700</v>
      </c>
      <c r="E48" s="30" t="s">
        <v>269</v>
      </c>
      <c r="F48" s="26">
        <v>0.73</v>
      </c>
      <c r="G48" s="26">
        <v>0.92</v>
      </c>
      <c r="H48" s="31">
        <f>0</f>
        <v>0</v>
      </c>
      <c r="I48" s="26">
        <v>4000</v>
      </c>
      <c r="J48" s="26">
        <v>1</v>
      </c>
      <c r="K48" s="26">
        <f>表3[[#This Row],[炮几率]]+0.015</f>
        <v>0.93500000000000005</v>
      </c>
    </row>
    <row r="49" spans="1:11" x14ac:dyDescent="0.15">
      <c r="A49" s="26" t="str">
        <f t="shared" si="1"/>
        <v>6000</v>
      </c>
      <c r="B49" s="26">
        <v>6000</v>
      </c>
      <c r="C49" s="32">
        <v>5200</v>
      </c>
      <c r="D49" s="26">
        <v>1800</v>
      </c>
      <c r="E49" s="30" t="s">
        <v>270</v>
      </c>
      <c r="F49" s="26">
        <v>0.72</v>
      </c>
      <c r="G49" s="26">
        <v>0.92</v>
      </c>
      <c r="H49" s="31">
        <f>0</f>
        <v>0</v>
      </c>
      <c r="I49" s="26">
        <v>4000</v>
      </c>
      <c r="J49" s="26">
        <v>1</v>
      </c>
      <c r="K49" s="26">
        <f>表3[[#This Row],[炮几率]]+0.015</f>
        <v>0.93500000000000005</v>
      </c>
    </row>
    <row r="50" spans="1:11" x14ac:dyDescent="0.15">
      <c r="A50" s="26" t="str">
        <f t="shared" si="1"/>
        <v>7000</v>
      </c>
      <c r="B50" s="26">
        <v>7000</v>
      </c>
      <c r="C50" s="32">
        <v>5600</v>
      </c>
      <c r="D50" s="26">
        <v>1900</v>
      </c>
      <c r="E50" s="30" t="s">
        <v>271</v>
      </c>
      <c r="F50" s="26">
        <v>0.71</v>
      </c>
      <c r="G50" s="26">
        <v>0.92</v>
      </c>
      <c r="H50" s="31">
        <f>0</f>
        <v>0</v>
      </c>
      <c r="I50" s="26">
        <v>4000</v>
      </c>
      <c r="J50" s="26">
        <v>1</v>
      </c>
      <c r="K50" s="26">
        <f>表3[[#This Row],[炮几率]]+0.015</f>
        <v>0.93500000000000005</v>
      </c>
    </row>
    <row r="51" spans="1:11" x14ac:dyDescent="0.15">
      <c r="A51" s="26" t="str">
        <f t="shared" si="1"/>
        <v>8000</v>
      </c>
      <c r="B51" s="26">
        <v>8000</v>
      </c>
      <c r="C51" s="32">
        <v>6000</v>
      </c>
      <c r="D51" s="26">
        <v>2000</v>
      </c>
      <c r="E51" s="30" t="s">
        <v>272</v>
      </c>
      <c r="F51" s="26">
        <v>0.7</v>
      </c>
      <c r="G51" s="26">
        <v>0.92</v>
      </c>
      <c r="H51" s="31">
        <f>0</f>
        <v>0</v>
      </c>
      <c r="I51" s="26">
        <v>4000</v>
      </c>
      <c r="J51" s="26">
        <v>1</v>
      </c>
      <c r="K51" s="26">
        <f>表3[[#This Row],[炮几率]]+0.015</f>
        <v>0.93500000000000005</v>
      </c>
    </row>
    <row r="52" spans="1:11" x14ac:dyDescent="0.15">
      <c r="A52" s="26" t="str">
        <f t="shared" si="1"/>
        <v>9000</v>
      </c>
      <c r="B52" s="26">
        <v>9000</v>
      </c>
      <c r="C52" s="32">
        <v>6400</v>
      </c>
      <c r="D52" s="26">
        <v>2100</v>
      </c>
      <c r="E52" s="30" t="s">
        <v>273</v>
      </c>
      <c r="F52" s="26">
        <v>0.69</v>
      </c>
      <c r="G52" s="26">
        <v>0.92</v>
      </c>
      <c r="H52" s="31">
        <f>0</f>
        <v>0</v>
      </c>
      <c r="I52" s="26">
        <v>4000</v>
      </c>
      <c r="J52" s="26">
        <v>1</v>
      </c>
      <c r="K52" s="26">
        <f>表3[[#This Row],[炮几率]]+0.015</f>
        <v>0.93500000000000005</v>
      </c>
    </row>
    <row r="53" spans="1:11" x14ac:dyDescent="0.15">
      <c r="A53" s="26" t="str">
        <f t="shared" si="1"/>
        <v>10000</v>
      </c>
      <c r="B53" s="26">
        <v>10000</v>
      </c>
      <c r="C53" s="32">
        <v>8000</v>
      </c>
      <c r="D53" s="26">
        <v>2200</v>
      </c>
      <c r="E53" s="30" t="s">
        <v>274</v>
      </c>
      <c r="F53" s="26">
        <v>0.68</v>
      </c>
      <c r="G53" s="26">
        <v>0.92</v>
      </c>
      <c r="H53" s="31">
        <f>0</f>
        <v>0</v>
      </c>
      <c r="I53" s="26">
        <v>4000</v>
      </c>
      <c r="J53" s="26">
        <v>1</v>
      </c>
      <c r="K53" s="26">
        <f>表3[[#This Row],[炮几率]]+0.015</f>
        <v>0.93500000000000005</v>
      </c>
    </row>
    <row r="54" spans="1:11" x14ac:dyDescent="0.15">
      <c r="A54" s="26" t="str">
        <f t="shared" si="1"/>
        <v>11000</v>
      </c>
      <c r="B54" s="26">
        <v>11000</v>
      </c>
      <c r="C54" s="32">
        <v>8800</v>
      </c>
      <c r="D54" s="26">
        <v>2400</v>
      </c>
      <c r="E54" s="30" t="s">
        <v>275</v>
      </c>
      <c r="F54" s="26">
        <v>0.67</v>
      </c>
      <c r="G54" s="26">
        <v>0.92</v>
      </c>
      <c r="H54" s="31">
        <f>0</f>
        <v>0</v>
      </c>
      <c r="I54" s="26">
        <v>4000</v>
      </c>
      <c r="J54" s="26">
        <v>1</v>
      </c>
      <c r="K54" s="26">
        <f>表3[[#This Row],[炮几率]]+0.015</f>
        <v>0.93500000000000005</v>
      </c>
    </row>
    <row r="55" spans="1:11" x14ac:dyDescent="0.15">
      <c r="A55" s="26" t="str">
        <f t="shared" si="1"/>
        <v>12000</v>
      </c>
      <c r="B55" s="26">
        <v>12000</v>
      </c>
      <c r="C55" s="32">
        <v>9600</v>
      </c>
      <c r="D55" s="26">
        <v>2400</v>
      </c>
      <c r="E55" s="30" t="s">
        <v>276</v>
      </c>
      <c r="F55" s="26">
        <v>0.66</v>
      </c>
      <c r="G55" s="26">
        <v>0.92</v>
      </c>
      <c r="H55" s="31">
        <f>0</f>
        <v>0</v>
      </c>
      <c r="I55" s="26">
        <v>4000</v>
      </c>
      <c r="J55" s="26">
        <v>1</v>
      </c>
      <c r="K55" s="26">
        <f>表3[[#This Row],[炮几率]]+0.015</f>
        <v>0.93500000000000005</v>
      </c>
    </row>
    <row r="56" spans="1:11" x14ac:dyDescent="0.15">
      <c r="A56" s="26" t="str">
        <f t="shared" si="1"/>
        <v>13000</v>
      </c>
      <c r="B56" s="26">
        <v>13000</v>
      </c>
      <c r="C56" s="32">
        <v>10400</v>
      </c>
      <c r="D56" s="26">
        <v>2400</v>
      </c>
      <c r="E56" s="30" t="s">
        <v>277</v>
      </c>
      <c r="F56" s="26">
        <v>0.65</v>
      </c>
      <c r="G56" s="26">
        <v>0.92</v>
      </c>
      <c r="H56" s="31">
        <f>0</f>
        <v>0</v>
      </c>
      <c r="I56" s="26">
        <v>4000</v>
      </c>
      <c r="J56" s="26">
        <v>1</v>
      </c>
      <c r="K56" s="26">
        <f>表3[[#This Row],[炮几率]]+0.015</f>
        <v>0.93500000000000005</v>
      </c>
    </row>
    <row r="57" spans="1:11" x14ac:dyDescent="0.15">
      <c r="A57" s="26" t="str">
        <f t="shared" si="1"/>
        <v>14000</v>
      </c>
      <c r="B57" s="26">
        <v>14000</v>
      </c>
      <c r="C57" s="32">
        <v>11200</v>
      </c>
      <c r="D57" s="26">
        <v>2400</v>
      </c>
      <c r="E57" s="30" t="s">
        <v>278</v>
      </c>
      <c r="F57" s="26">
        <v>0.64</v>
      </c>
      <c r="G57" s="26">
        <v>0.92</v>
      </c>
      <c r="H57" s="31">
        <f>0</f>
        <v>0</v>
      </c>
      <c r="I57" s="26">
        <v>4000</v>
      </c>
      <c r="J57" s="26">
        <v>1</v>
      </c>
      <c r="K57" s="26">
        <f>表3[[#This Row],[炮几率]]+0.015</f>
        <v>0.93500000000000005</v>
      </c>
    </row>
    <row r="58" spans="1:11" x14ac:dyDescent="0.15">
      <c r="A58" s="26" t="str">
        <f t="shared" si="1"/>
        <v>15000</v>
      </c>
      <c r="B58" s="26">
        <v>15000</v>
      </c>
      <c r="C58" s="32">
        <v>12000</v>
      </c>
      <c r="D58" s="26">
        <v>2400</v>
      </c>
      <c r="E58" s="30" t="s">
        <v>279</v>
      </c>
      <c r="F58" s="26">
        <v>0.63</v>
      </c>
      <c r="G58" s="26">
        <v>0.92</v>
      </c>
      <c r="H58" s="31">
        <f>0</f>
        <v>0</v>
      </c>
      <c r="I58" s="26">
        <v>4000</v>
      </c>
      <c r="J58" s="26">
        <v>1</v>
      </c>
      <c r="K58" s="26">
        <f>表3[[#This Row],[炮几率]]+0.015</f>
        <v>0.93500000000000005</v>
      </c>
    </row>
    <row r="59" spans="1:11" x14ac:dyDescent="0.15">
      <c r="A59" s="26" t="str">
        <f t="shared" ref="A59:A63" si="2">""&amp;B59</f>
        <v>20000</v>
      </c>
      <c r="B59" s="26">
        <v>20000</v>
      </c>
      <c r="C59" s="32">
        <v>12800</v>
      </c>
      <c r="D59" s="26">
        <v>2400</v>
      </c>
      <c r="E59" s="30" t="s">
        <v>280</v>
      </c>
      <c r="F59" s="26">
        <v>0.62</v>
      </c>
      <c r="G59" s="26">
        <v>0.92</v>
      </c>
      <c r="H59" s="31">
        <f>0</f>
        <v>0</v>
      </c>
      <c r="I59" s="26">
        <v>4000</v>
      </c>
      <c r="J59" s="26">
        <v>1</v>
      </c>
      <c r="K59" s="26">
        <f>表3[[#This Row],[炮几率]]+0.015</f>
        <v>0.93500000000000005</v>
      </c>
    </row>
    <row r="60" spans="1:11" x14ac:dyDescent="0.15">
      <c r="A60" s="26" t="str">
        <f t="shared" si="2"/>
        <v>25000</v>
      </c>
      <c r="B60" s="26">
        <v>25000</v>
      </c>
      <c r="C60" s="32">
        <v>13600</v>
      </c>
      <c r="D60" s="26">
        <v>2400</v>
      </c>
      <c r="E60" s="30" t="s">
        <v>281</v>
      </c>
      <c r="F60" s="26">
        <v>0.61</v>
      </c>
      <c r="G60" s="26">
        <v>0.92</v>
      </c>
      <c r="H60" s="31">
        <f>0</f>
        <v>0</v>
      </c>
      <c r="I60" s="26">
        <v>4000</v>
      </c>
      <c r="J60" s="26">
        <v>1</v>
      </c>
      <c r="K60" s="26">
        <f>表3[[#This Row],[炮几率]]+0.015</f>
        <v>0.93500000000000005</v>
      </c>
    </row>
    <row r="61" spans="1:11" x14ac:dyDescent="0.15">
      <c r="A61" s="26" t="str">
        <f t="shared" si="2"/>
        <v>30000</v>
      </c>
      <c r="B61" s="26">
        <v>30000</v>
      </c>
      <c r="C61" s="32">
        <v>14400</v>
      </c>
      <c r="D61" s="26">
        <v>2400</v>
      </c>
      <c r="E61" s="30" t="s">
        <v>282</v>
      </c>
      <c r="F61" s="26">
        <v>0.6</v>
      </c>
      <c r="G61" s="26">
        <v>0.92</v>
      </c>
      <c r="H61" s="31">
        <f>0</f>
        <v>0</v>
      </c>
      <c r="I61" s="26">
        <v>4000</v>
      </c>
      <c r="J61" s="26">
        <v>1</v>
      </c>
      <c r="K61" s="26">
        <f>表3[[#This Row],[炮几率]]+0.015</f>
        <v>0.93500000000000005</v>
      </c>
    </row>
    <row r="62" spans="1:11" x14ac:dyDescent="0.15">
      <c r="A62" s="26" t="str">
        <f t="shared" si="2"/>
        <v>35000</v>
      </c>
      <c r="B62" s="26">
        <v>35000</v>
      </c>
      <c r="C62" s="32">
        <v>15200</v>
      </c>
      <c r="D62" s="26">
        <v>2400</v>
      </c>
      <c r="E62" s="30" t="s">
        <v>283</v>
      </c>
      <c r="F62" s="26">
        <v>0.59</v>
      </c>
      <c r="G62" s="26">
        <v>0.92</v>
      </c>
      <c r="H62" s="31">
        <f>0</f>
        <v>0</v>
      </c>
      <c r="I62" s="26">
        <v>4000</v>
      </c>
      <c r="J62" s="26">
        <v>1</v>
      </c>
      <c r="K62" s="26">
        <f>表3[[#This Row],[炮几率]]+0.015</f>
        <v>0.93500000000000005</v>
      </c>
    </row>
    <row r="63" spans="1:11" x14ac:dyDescent="0.15">
      <c r="A63" s="26" t="str">
        <f t="shared" si="2"/>
        <v>40000</v>
      </c>
      <c r="B63" s="26">
        <v>40000</v>
      </c>
      <c r="C63" s="32">
        <v>16000</v>
      </c>
      <c r="D63" s="26">
        <v>2400</v>
      </c>
      <c r="E63" s="30" t="s">
        <v>284</v>
      </c>
      <c r="F63" s="26">
        <v>0.57999999999999996</v>
      </c>
      <c r="G63" s="26">
        <v>0.92</v>
      </c>
      <c r="H63" s="31">
        <f>0</f>
        <v>0</v>
      </c>
      <c r="I63" s="26">
        <v>4000</v>
      </c>
      <c r="J63" s="26">
        <v>1</v>
      </c>
      <c r="K63" s="26">
        <f>表3[[#This Row],[炮几率]]+0.015</f>
        <v>0.93500000000000005</v>
      </c>
    </row>
    <row r="64" spans="1:11" x14ac:dyDescent="0.15">
      <c r="A64" s="26" t="str">
        <f t="shared" ref="A64:A67" si="3">""&amp;B64</f>
        <v>45000</v>
      </c>
      <c r="B64" s="26">
        <v>45000</v>
      </c>
      <c r="C64" s="32">
        <v>16800</v>
      </c>
      <c r="D64" s="26">
        <v>2400</v>
      </c>
      <c r="E64" s="30" t="s">
        <v>285</v>
      </c>
      <c r="F64" s="26">
        <v>0.56999999999999995</v>
      </c>
      <c r="G64" s="26">
        <v>0.92</v>
      </c>
      <c r="H64" s="31">
        <f>0</f>
        <v>0</v>
      </c>
      <c r="I64" s="26">
        <v>4000</v>
      </c>
      <c r="J64" s="26">
        <v>1</v>
      </c>
      <c r="K64" s="26">
        <f>表3[[#This Row],[炮几率]]+0.015</f>
        <v>0.93500000000000005</v>
      </c>
    </row>
    <row r="65" spans="1:11" x14ac:dyDescent="0.15">
      <c r="A65" s="26" t="str">
        <f t="shared" si="3"/>
        <v>50000</v>
      </c>
      <c r="B65" s="26">
        <v>50000</v>
      </c>
      <c r="C65" s="32">
        <v>17600</v>
      </c>
      <c r="D65" s="26">
        <v>2400</v>
      </c>
      <c r="E65" s="30" t="s">
        <v>286</v>
      </c>
      <c r="F65" s="26">
        <v>0.56000000000000005</v>
      </c>
      <c r="G65" s="26">
        <v>0.92</v>
      </c>
      <c r="H65" s="31">
        <f>0</f>
        <v>0</v>
      </c>
      <c r="I65" s="26">
        <v>4000</v>
      </c>
      <c r="J65" s="26">
        <v>1</v>
      </c>
      <c r="K65" s="26">
        <f>表3[[#This Row],[炮几率]]+0.015</f>
        <v>0.93500000000000005</v>
      </c>
    </row>
    <row r="66" spans="1:11" x14ac:dyDescent="0.15">
      <c r="A66" s="26" t="str">
        <f t="shared" si="3"/>
        <v>60000</v>
      </c>
      <c r="B66" s="26">
        <v>60000</v>
      </c>
      <c r="C66" s="32">
        <v>18400</v>
      </c>
      <c r="D66" s="26">
        <v>2400</v>
      </c>
      <c r="E66" s="30" t="s">
        <v>287</v>
      </c>
      <c r="F66" s="26">
        <v>0.55000000000000004</v>
      </c>
      <c r="G66" s="26">
        <v>0.92</v>
      </c>
      <c r="H66" s="31">
        <f>0</f>
        <v>0</v>
      </c>
      <c r="I66" s="26">
        <v>4000</v>
      </c>
      <c r="J66" s="26">
        <v>1</v>
      </c>
      <c r="K66" s="26">
        <f>表3[[#This Row],[炮几率]]+0.015</f>
        <v>0.93500000000000005</v>
      </c>
    </row>
    <row r="67" spans="1:11" x14ac:dyDescent="0.15">
      <c r="A67" s="26" t="str">
        <f t="shared" si="3"/>
        <v>70000</v>
      </c>
      <c r="B67" s="26">
        <v>70000</v>
      </c>
      <c r="C67" s="32">
        <v>19200</v>
      </c>
      <c r="D67" s="26">
        <v>2400</v>
      </c>
      <c r="E67" s="30" t="s">
        <v>288</v>
      </c>
      <c r="F67" s="26">
        <v>0.54</v>
      </c>
      <c r="G67" s="26">
        <v>0.92</v>
      </c>
      <c r="H67" s="31">
        <f>0</f>
        <v>0</v>
      </c>
      <c r="I67" s="26">
        <v>4000</v>
      </c>
      <c r="J67" s="26">
        <v>1</v>
      </c>
      <c r="K67" s="26">
        <f>表3[[#This Row],[炮几率]]+0.015</f>
        <v>0.93500000000000005</v>
      </c>
    </row>
    <row r="68" spans="1:11" x14ac:dyDescent="0.15">
      <c r="A68" s="26" t="str">
        <f t="shared" ref="A68:A70" si="4">""&amp;B68</f>
        <v>80000</v>
      </c>
      <c r="B68" s="26">
        <v>80000</v>
      </c>
      <c r="C68" s="32">
        <v>20000</v>
      </c>
      <c r="D68" s="26">
        <v>2400</v>
      </c>
      <c r="E68" s="30" t="s">
        <v>289</v>
      </c>
      <c r="F68" s="26">
        <v>0.53</v>
      </c>
      <c r="G68" s="26">
        <v>0.92</v>
      </c>
      <c r="H68" s="31">
        <f>0</f>
        <v>0</v>
      </c>
      <c r="I68" s="26">
        <v>4000</v>
      </c>
      <c r="J68" s="26">
        <v>1</v>
      </c>
      <c r="K68" s="26">
        <f>表3[[#This Row],[炮几率]]+0.015</f>
        <v>0.93500000000000005</v>
      </c>
    </row>
    <row r="69" spans="1:11" x14ac:dyDescent="0.15">
      <c r="A69" s="26" t="str">
        <f t="shared" si="4"/>
        <v>90000</v>
      </c>
      <c r="B69" s="26">
        <v>90000</v>
      </c>
      <c r="C69" s="32">
        <v>20800</v>
      </c>
      <c r="D69" s="26">
        <v>2400</v>
      </c>
      <c r="E69" s="30" t="s">
        <v>290</v>
      </c>
      <c r="F69" s="26">
        <v>0.52</v>
      </c>
      <c r="G69" s="26">
        <v>0.92</v>
      </c>
      <c r="H69" s="31">
        <f>0</f>
        <v>0</v>
      </c>
      <c r="I69" s="26">
        <v>4000</v>
      </c>
      <c r="J69" s="26">
        <v>1</v>
      </c>
      <c r="K69" s="26">
        <f>表3[[#This Row],[炮几率]]+0.015</f>
        <v>0.93500000000000005</v>
      </c>
    </row>
    <row r="70" spans="1:11" x14ac:dyDescent="0.15">
      <c r="A70" s="26" t="str">
        <f t="shared" si="4"/>
        <v>100000</v>
      </c>
      <c r="B70" s="26">
        <v>100000</v>
      </c>
      <c r="C70" s="32">
        <v>21600</v>
      </c>
      <c r="D70" s="26">
        <v>2400</v>
      </c>
      <c r="E70" s="30" t="s">
        <v>291</v>
      </c>
      <c r="F70" s="26">
        <v>0.51</v>
      </c>
      <c r="G70" s="26">
        <v>0.92</v>
      </c>
      <c r="H70" s="31">
        <f>0</f>
        <v>0</v>
      </c>
      <c r="I70" s="26">
        <v>4000</v>
      </c>
      <c r="J70" s="26">
        <v>1</v>
      </c>
      <c r="K70" s="26">
        <f>表3[[#This Row],[炮几率]]+0.015</f>
        <v>0.93500000000000005</v>
      </c>
    </row>
  </sheetData>
  <phoneticPr fontId="7" type="noConversion"/>
  <dataValidations count="1">
    <dataValidation allowBlank="1" showInputMessage="1" showErrorMessage="1" promptTitle="预留字段——————————————————————" prompt="不希望用等级来卡，但不排除以后增加此条件" sqref="H3" xr:uid="{00000000-0002-0000-0200-000000000000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98"/>
  <sheetViews>
    <sheetView workbookViewId="0">
      <pane xSplit="1" ySplit="3" topLeftCell="B4" activePane="bottomRight" state="frozenSplit"/>
      <selection pane="topRight" activeCell="C1" sqref="C1"/>
      <selection pane="bottomLeft" activeCell="A4" sqref="A4"/>
      <selection pane="bottomRight" activeCell="O28" sqref="O28"/>
    </sheetView>
  </sheetViews>
  <sheetFormatPr defaultColWidth="9" defaultRowHeight="13.5" x14ac:dyDescent="0.15"/>
  <cols>
    <col min="1" max="1" width="12.375" customWidth="1"/>
    <col min="2" max="2" width="13.375" customWidth="1"/>
    <col min="3" max="3" width="7.75" bestFit="1" customWidth="1"/>
    <col min="4" max="4" width="9.375" customWidth="1"/>
    <col min="5" max="5" width="16.625" bestFit="1" customWidth="1"/>
    <col min="6" max="6" width="25.375" customWidth="1"/>
    <col min="7" max="7" width="7.125" customWidth="1"/>
    <col min="8" max="8" width="7.25" customWidth="1"/>
    <col min="9" max="9" width="7.5" customWidth="1"/>
    <col min="10" max="10" width="7.75" customWidth="1"/>
    <col min="11" max="11" width="8.125" customWidth="1"/>
    <col min="12" max="12" width="10.375" customWidth="1"/>
    <col min="13" max="13" width="7.625" customWidth="1"/>
    <col min="14" max="14" width="5.875" customWidth="1"/>
    <col min="15" max="15" width="7" bestFit="1" customWidth="1"/>
    <col min="16" max="16" width="18.375" bestFit="1" customWidth="1"/>
  </cols>
  <sheetData>
    <row r="1" spans="1:16" ht="16.5" x14ac:dyDescent="0.35">
      <c r="A1" s="33" t="s">
        <v>204</v>
      </c>
      <c r="B1" s="33" t="s">
        <v>216</v>
      </c>
      <c r="C1" s="2" t="s">
        <v>200</v>
      </c>
      <c r="D1" s="2" t="s">
        <v>259</v>
      </c>
      <c r="E1" s="2" t="s">
        <v>260</v>
      </c>
      <c r="F1" s="2" t="s">
        <v>261</v>
      </c>
      <c r="G1" s="2" t="s">
        <v>227</v>
      </c>
      <c r="H1" s="2" t="s">
        <v>223</v>
      </c>
      <c r="I1" s="34" t="s">
        <v>219</v>
      </c>
      <c r="J1" s="34" t="s">
        <v>220</v>
      </c>
      <c r="K1" s="34" t="s">
        <v>221</v>
      </c>
      <c r="L1" s="34" t="s">
        <v>228</v>
      </c>
      <c r="M1" s="34" t="s">
        <v>222</v>
      </c>
      <c r="N1" s="34" t="s">
        <v>231</v>
      </c>
      <c r="O1" s="34" t="s">
        <v>235</v>
      </c>
      <c r="P1" s="34" t="s">
        <v>225</v>
      </c>
    </row>
    <row r="2" spans="1:16" ht="16.5" x14ac:dyDescent="0.15">
      <c r="A2" s="35" t="s">
        <v>119</v>
      </c>
      <c r="B2" s="35" t="s">
        <v>119</v>
      </c>
      <c r="C2" s="4" t="s">
        <v>201</v>
      </c>
      <c r="D2" s="4" t="s">
        <v>33</v>
      </c>
      <c r="E2" s="4" t="s">
        <v>243</v>
      </c>
      <c r="F2" s="4" t="s">
        <v>243</v>
      </c>
      <c r="G2" s="4" t="s">
        <v>106</v>
      </c>
      <c r="H2" s="4" t="s">
        <v>201</v>
      </c>
      <c r="I2" s="4" t="s">
        <v>226</v>
      </c>
      <c r="J2" s="4" t="s">
        <v>106</v>
      </c>
      <c r="K2" s="4" t="s">
        <v>106</v>
      </c>
      <c r="L2" s="4" t="s">
        <v>106</v>
      </c>
      <c r="M2" s="4" t="s">
        <v>106</v>
      </c>
      <c r="N2" s="4" t="s">
        <v>226</v>
      </c>
      <c r="O2" s="4" t="s">
        <v>120</v>
      </c>
      <c r="P2" s="4" t="s">
        <v>212</v>
      </c>
    </row>
    <row r="3" spans="1:16" ht="24" x14ac:dyDescent="0.15">
      <c r="A3" s="18" t="s">
        <v>215</v>
      </c>
      <c r="B3" s="18" t="s">
        <v>203</v>
      </c>
      <c r="C3" s="19" t="s">
        <v>202</v>
      </c>
      <c r="D3" s="19" t="s">
        <v>244</v>
      </c>
      <c r="E3" s="19" t="s">
        <v>99</v>
      </c>
      <c r="F3" s="19" t="s">
        <v>205</v>
      </c>
      <c r="G3" s="19" t="s">
        <v>206</v>
      </c>
      <c r="H3" s="19" t="s">
        <v>232</v>
      </c>
      <c r="I3" s="19" t="s">
        <v>233</v>
      </c>
      <c r="J3" s="19" t="s">
        <v>217</v>
      </c>
      <c r="K3" s="19" t="s">
        <v>218</v>
      </c>
      <c r="L3" s="19" t="s">
        <v>230</v>
      </c>
      <c r="M3" s="19" t="s">
        <v>229</v>
      </c>
      <c r="N3" s="19" t="s">
        <v>262</v>
      </c>
      <c r="O3" s="19" t="s">
        <v>234</v>
      </c>
      <c r="P3" s="19" t="s">
        <v>224</v>
      </c>
    </row>
    <row r="4" spans="1:16" x14ac:dyDescent="0.15">
      <c r="A4" s="5">
        <v>1</v>
      </c>
      <c r="B4" s="5">
        <v>0</v>
      </c>
      <c r="C4" s="5">
        <f>MAX(VLOOKUP(表3_3[[#This Row],[皮肤id]],表1[[id]:[魅力]],15,FALSE),100)*(1+VLOOKUP(表3_3[[#This Row],[星级]],[2]魅力系统!$E$41:$F$53,2,FALSE))</f>
        <v>100</v>
      </c>
      <c r="D4" s="5">
        <f>表3_3[[#This Row],[星级]]^2*20000+20000*表3_3[[#This Row],[星级]]</f>
        <v>0</v>
      </c>
      <c r="E4" s="5" t="str">
        <f>"["&amp;IF(表3_3[[#This Row],[星级]]=0,"","""w"&amp;500+表3_3[[#This Row],[皮肤id]]&amp;""","&amp;VLOOKUP(表3_3[[#This Row],[星级]],description!$C$1:$D$13,2,FALSE))&amp;"]"</f>
        <v>[]</v>
      </c>
      <c r="F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" spans="1:16" x14ac:dyDescent="0.15">
      <c r="A5" s="5">
        <v>1</v>
      </c>
      <c r="B5" s="5">
        <v>1</v>
      </c>
      <c r="C5" s="5">
        <f>MAX(VLOOKUP(表3_3[[#This Row],[皮肤id]],表1[[id]:[魅力]],15,FALSE),100)*(1+VLOOKUP(表3_3[[#This Row],[星级]],[2]魅力系统!$E$41:$F$53,2,FALSE))</f>
        <v>150</v>
      </c>
      <c r="D5" s="5">
        <f>表3_3[[#This Row],[星级]]^2*20000+20000*表3_3[[#This Row],[星级]]</f>
        <v>40000</v>
      </c>
      <c r="E5" s="5" t="str">
        <f>"["&amp;IF(表3_3[[#This Row],[星级]]=0,"","""w"&amp;500+表3_3[[#This Row],[皮肤id]]&amp;""","&amp;VLOOKUP(表3_3[[#This Row],[星级]],description!$C$1:$D$13,2,FALSE))&amp;"]"</f>
        <v>["w501",10]</v>
      </c>
      <c r="F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1</v>
      </c>
      <c r="O5" s="5">
        <v>4.0000000000000001E-3</v>
      </c>
      <c r="P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6" spans="1:16" x14ac:dyDescent="0.15">
      <c r="A6" s="5">
        <v>1</v>
      </c>
      <c r="B6" s="5">
        <v>2</v>
      </c>
      <c r="C6" s="5">
        <f>MAX(VLOOKUP(表3_3[[#This Row],[皮肤id]],表1[[id]:[魅力]],15,FALSE),100)*(1+VLOOKUP(表3_3[[#This Row],[星级]],[2]魅力系统!$E$41:$F$53,2,FALSE))</f>
        <v>200</v>
      </c>
      <c r="D6" s="5">
        <f>表3_3[[#This Row],[星级]]^2*20000+20000*表3_3[[#This Row],[星级]]</f>
        <v>120000</v>
      </c>
      <c r="E6" s="5" t="str">
        <f>"["&amp;IF(表3_3[[#This Row],[星级]]=0,"","""w"&amp;500+表3_3[[#This Row],[皮肤id]]&amp;""","&amp;VLOOKUP(表3_3[[#This Row],[星级]],description!$C$1:$D$13,2,FALSE))&amp;"]"</f>
        <v>["w501",20]</v>
      </c>
      <c r="F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["01z1","",""]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1</v>
      </c>
      <c r="O6" s="5">
        <v>4.0000000000000001E-3</v>
      </c>
      <c r="P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7" spans="1:16" x14ac:dyDescent="0.15">
      <c r="A7" s="5">
        <v>1</v>
      </c>
      <c r="B7" s="5">
        <v>3</v>
      </c>
      <c r="C7" s="5">
        <f>MAX(VLOOKUP(表3_3[[#This Row],[皮肤id]],表1[[id]:[魅力]],15,FALSE),100)*(1+VLOOKUP(表3_3[[#This Row],[星级]],[2]魅力系统!$E$41:$F$53,2,FALSE))</f>
        <v>250</v>
      </c>
      <c r="D7" s="5">
        <f>表3_3[[#This Row],[星级]]^2*20000+20000*表3_3[[#This Row],[星级]]</f>
        <v>240000</v>
      </c>
      <c r="E7" s="5" t="str">
        <f>"["&amp;IF(表3_3[[#This Row],[星级]]=0,"","""w"&amp;500+表3_3[[#This Row],[皮肤id]]&amp;""","&amp;VLOOKUP(表3_3[[#This Row],[星级]],description!$C$1:$D$13,2,FALSE))&amp;"]"</f>
        <v>["w501",40]</v>
      </c>
      <c r="F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["01z1","",""]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1</v>
      </c>
      <c r="O7" s="5">
        <v>4.0000000000000001E-3</v>
      </c>
      <c r="P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8" spans="1:16" x14ac:dyDescent="0.15">
      <c r="A8" s="5">
        <v>1</v>
      </c>
      <c r="B8" s="5">
        <v>4</v>
      </c>
      <c r="C8" s="5">
        <f>MAX(VLOOKUP(表3_3[[#This Row],[皮肤id]],表1[[id]:[魅力]],15,FALSE),100)*(1+VLOOKUP(表3_3[[#This Row],[星级]],[2]魅力系统!$E$41:$F$53,2,FALSE))</f>
        <v>300</v>
      </c>
      <c r="D8" s="5">
        <f>表3_3[[#This Row],[星级]]^2*20000+20000*表3_3[[#This Row],[星级]]</f>
        <v>400000</v>
      </c>
      <c r="E8" s="5" t="str">
        <f>"["&amp;IF(表3_3[[#This Row],[星级]]=0,"","""w"&amp;500+表3_3[[#This Row],[皮肤id]]&amp;""","&amp;VLOOKUP(表3_3[[#This Row],[星级]],description!$C$1:$D$13,2,FALSE))&amp;"]"</f>
        <v>["w501",60]</v>
      </c>
      <c r="F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["01z1","",""]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2</v>
      </c>
      <c r="O8" s="5">
        <v>5.0000000000000001E-3</v>
      </c>
      <c r="P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9" spans="1:16" x14ac:dyDescent="0.15">
      <c r="A9" s="5">
        <v>1</v>
      </c>
      <c r="B9" s="5">
        <v>5</v>
      </c>
      <c r="C9" s="5">
        <f>MAX(VLOOKUP(表3_3[[#This Row],[皮肤id]],表1[[id]:[魅力]],15,FALSE),100)*(1+VLOOKUP(表3_3[[#This Row],[星级]],[2]魅力系统!$E$41:$F$53,2,FALSE))</f>
        <v>350</v>
      </c>
      <c r="D9" s="5">
        <f>表3_3[[#This Row],[星级]]^2*20000+20000*表3_3[[#This Row],[星级]]</f>
        <v>600000</v>
      </c>
      <c r="E9" s="5" t="str">
        <f>"["&amp;IF(表3_3[[#This Row],[星级]]=0,"","""w"&amp;500+表3_3[[#This Row],[皮肤id]]&amp;""","&amp;VLOOKUP(表3_3[[#This Row],[星级]],description!$C$1:$D$13,2,FALSE))&amp;"]"</f>
        <v>["w501",100]</v>
      </c>
      <c r="F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["01z1","01z2",""]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2</v>
      </c>
      <c r="O9" s="5">
        <v>5.0000000000000001E-3</v>
      </c>
      <c r="P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0" spans="1:16" x14ac:dyDescent="0.15">
      <c r="A10" s="5">
        <v>1</v>
      </c>
      <c r="B10" s="5">
        <v>6</v>
      </c>
      <c r="C10" s="5">
        <f>MAX(VLOOKUP(表3_3[[#This Row],[皮肤id]],表1[[id]:[魅力]],15,FALSE),100)*(1+VLOOKUP(表3_3[[#This Row],[星级]],[2]魅力系统!$E$41:$F$53,2,FALSE))</f>
        <v>400</v>
      </c>
      <c r="D10" s="5">
        <f>表3_3[[#This Row],[星级]]^2*20000+20000*表3_3[[#This Row],[星级]]</f>
        <v>840000</v>
      </c>
      <c r="E10" s="5" t="str">
        <f>"["&amp;IF(表3_3[[#This Row],[星级]]=0,"","""w"&amp;500+表3_3[[#This Row],[皮肤id]]&amp;""","&amp;VLOOKUP(表3_3[[#This Row],[星级]],description!$C$1:$D$13,2,FALSE))&amp;"]"</f>
        <v>["w501",200]</v>
      </c>
      <c r="F1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["01z1","01z2",""]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2</v>
      </c>
      <c r="O10" s="5">
        <v>5.0000000000000001E-3</v>
      </c>
      <c r="P1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1" spans="1:16" x14ac:dyDescent="0.15">
      <c r="A11" s="5">
        <v>1</v>
      </c>
      <c r="B11" s="5">
        <v>7</v>
      </c>
      <c r="C11" s="5">
        <f>MAX(VLOOKUP(表3_3[[#This Row],[皮肤id]],表1[[id]:[魅力]],15,FALSE),100)*(1+VLOOKUP(表3_3[[#This Row],[星级]],[2]魅力系统!$E$41:$F$53,2,FALSE))</f>
        <v>450</v>
      </c>
      <c r="D11" s="5">
        <f>表3_3[[#This Row],[星级]]^2*20000+20000*表3_3[[#This Row],[星级]]</f>
        <v>1120000</v>
      </c>
      <c r="E11" s="5" t="str">
        <f>"["&amp;IF(表3_3[[#This Row],[星级]]=0,"","""w"&amp;500+表3_3[[#This Row],[皮肤id]]&amp;""","&amp;VLOOKUP(表3_3[[#This Row],[星级]],description!$C$1:$D$13,2,FALSE))&amp;"]"</f>
        <v>["w501",400]</v>
      </c>
      <c r="F1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["01z1","01z2",""]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3</v>
      </c>
      <c r="O11" s="5">
        <v>6.0000000000000001E-3</v>
      </c>
      <c r="P1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2" spans="1:16" x14ac:dyDescent="0.15">
      <c r="A12" s="5">
        <v>1</v>
      </c>
      <c r="B12" s="5">
        <v>8</v>
      </c>
      <c r="C12" s="5">
        <f>MAX(VLOOKUP(表3_3[[#This Row],[皮肤id]],表1[[id]:[魅力]],15,FALSE),100)*(1+VLOOKUP(表3_3[[#This Row],[星级]],[2]魅力系统!$E$41:$F$53,2,FALSE))</f>
        <v>500</v>
      </c>
      <c r="D12" s="5">
        <f>表3_3[[#This Row],[星级]]^2*20000+20000*表3_3[[#This Row],[星级]]</f>
        <v>1440000</v>
      </c>
      <c r="E12" s="5" t="str">
        <f>"["&amp;IF(表3_3[[#This Row],[星级]]=0,"","""w"&amp;500+表3_3[[#This Row],[皮肤id]]&amp;""","&amp;VLOOKUP(表3_3[[#This Row],[星级]],description!$C$1:$D$13,2,FALSE))&amp;"]"</f>
        <v>["w501",700]</v>
      </c>
      <c r="F1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["01z1","01z2","3jie"]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3</v>
      </c>
      <c r="O12" s="5">
        <v>6.0000000000000001E-3</v>
      </c>
      <c r="P1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" spans="1:16" x14ac:dyDescent="0.15">
      <c r="A13" s="5">
        <v>1</v>
      </c>
      <c r="B13" s="5">
        <v>9</v>
      </c>
      <c r="C13" s="5">
        <f>MAX(VLOOKUP(表3_3[[#This Row],[皮肤id]],表1[[id]:[魅力]],15,FALSE),100)*(1+VLOOKUP(表3_3[[#This Row],[星级]],[2]魅力系统!$E$41:$F$53,2,FALSE))</f>
        <v>600</v>
      </c>
      <c r="D13" s="5">
        <f>表3_3[[#This Row],[星级]]^2*20000+20000*表3_3[[#This Row],[星级]]</f>
        <v>1800000</v>
      </c>
      <c r="E13" s="5" t="str">
        <f>"["&amp;IF(表3_3[[#This Row],[星级]]=0,"","""w"&amp;500+表3_3[[#This Row],[皮肤id]]&amp;""","&amp;VLOOKUP(表3_3[[#This Row],[星级]],description!$C$1:$D$13,2,FALSE))&amp;"]"</f>
        <v>["w501",1000]</v>
      </c>
      <c r="F1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["01z1","01z2","3jie"]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4</v>
      </c>
      <c r="O13" s="5">
        <v>8.0000000000000002E-3</v>
      </c>
      <c r="P1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" spans="1:16" x14ac:dyDescent="0.15">
      <c r="A14" s="5">
        <v>1</v>
      </c>
      <c r="B14" s="5">
        <v>10</v>
      </c>
      <c r="C14" s="5">
        <f>MAX(VLOOKUP(表3_3[[#This Row],[皮肤id]],表1[[id]:[魅力]],15,FALSE),100)*(1+VLOOKUP(表3_3[[#This Row],[星级]],[2]魅力系统!$E$41:$F$53,2,FALSE))</f>
        <v>700</v>
      </c>
      <c r="D14" s="5">
        <f>表3_3[[#This Row],[星级]]^2*20000+20000*表3_3[[#This Row],[星级]]</f>
        <v>2200000</v>
      </c>
      <c r="E14" s="5" t="str">
        <f>"["&amp;IF(表3_3[[#This Row],[星级]]=0,"","""w"&amp;500+表3_3[[#This Row],[皮肤id]]&amp;""","&amp;VLOOKUP(表3_3[[#This Row],[星级]],description!$C$1:$D$13,2,FALSE))&amp;"]"</f>
        <v>["w501",1800]</v>
      </c>
      <c r="F1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["01z1","01z2","4jie"]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4</v>
      </c>
      <c r="O14" s="5">
        <v>8.0000000000000002E-3</v>
      </c>
      <c r="P1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5" spans="1:16" x14ac:dyDescent="0.15">
      <c r="A15" s="5">
        <v>1</v>
      </c>
      <c r="B15" s="5">
        <v>11</v>
      </c>
      <c r="C15" s="5">
        <f>MAX(VLOOKUP(表3_3[[#This Row],[皮肤id]],表1[[id]:[魅力]],15,FALSE),100)*(1+VLOOKUP(表3_3[[#This Row],[星级]],[2]魅力系统!$E$41:$F$53,2,FALSE))</f>
        <v>800</v>
      </c>
      <c r="D15" s="5">
        <f>表3_3[[#This Row],[星级]]^2*20000+20000*表3_3[[#This Row],[星级]]</f>
        <v>2640000</v>
      </c>
      <c r="E15" s="5" t="str">
        <f>"["&amp;IF(表3_3[[#This Row],[星级]]=0,"","""w"&amp;500+表3_3[[#This Row],[皮肤id]]&amp;""","&amp;VLOOKUP(表3_3[[#This Row],[星级]],description!$C$1:$D$13,2,FALSE))&amp;"]"</f>
        <v>["w501",2600]</v>
      </c>
      <c r="F1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["01z1","01z2","4jie"]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5</v>
      </c>
      <c r="O15" s="5">
        <v>0.01</v>
      </c>
      <c r="P1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" spans="1:16" x14ac:dyDescent="0.15">
      <c r="A16" s="5">
        <v>1</v>
      </c>
      <c r="B16" s="5">
        <v>12</v>
      </c>
      <c r="C16" s="5">
        <f>MAX(VLOOKUP(表3_3[[#This Row],[皮肤id]],表1[[id]:[魅力]],15,FALSE),100)*(1+VLOOKUP(表3_3[[#This Row],[星级]],[2]魅力系统!$E$41:$F$53,2,FALSE))</f>
        <v>900</v>
      </c>
      <c r="D16" s="5">
        <f>表3_3[[#This Row],[星级]]^2*20000+20000*表3_3[[#This Row],[星级]]</f>
        <v>3120000</v>
      </c>
      <c r="E16" s="5" t="str">
        <f>"["&amp;IF(表3_3[[#This Row],[星级]]=0,"","""w"&amp;500+表3_3[[#This Row],[皮肤id]]&amp;""","&amp;VLOOKUP(表3_3[[#This Row],[星级]],description!$C$1:$D$13,2,FALSE))&amp;"]"</f>
        <v>["w501",3600]</v>
      </c>
      <c r="F1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["01z1","01z2","4jie"]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5</v>
      </c>
      <c r="O16" s="5">
        <v>0.01</v>
      </c>
      <c r="P1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" spans="1:16" x14ac:dyDescent="0.15">
      <c r="A17" s="5">
        <f>A4+1</f>
        <v>2</v>
      </c>
      <c r="B17" s="5">
        <v>0</v>
      </c>
      <c r="C17" s="5">
        <f>MAX(VLOOKUP(表3_3[[#This Row],[皮肤id]],表1[[id]:[魅力]],15,FALSE),100)*(1+VLOOKUP(表3_3[[#This Row],[星级]],[2]魅力系统!$E$41:$F$53,2,FALSE))</f>
        <v>250</v>
      </c>
      <c r="D17" s="5">
        <f>表3_3[[#This Row],[星级]]^2*20000+20000*表3_3[[#This Row],[星级]]</f>
        <v>0</v>
      </c>
      <c r="E17" s="5" t="str">
        <f>"["&amp;IF(表3_3[[#This Row],[星级]]=0,"","""w"&amp;500+表3_3[[#This Row],[皮肤id]]&amp;""","&amp;VLOOKUP(表3_3[[#This Row],[星级]],description!$C$1:$D$13,2,FALSE))&amp;"]"</f>
        <v>[]</v>
      </c>
      <c r="F1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" spans="1:16" x14ac:dyDescent="0.15">
      <c r="A18" s="5">
        <f t="shared" ref="A18:A83" si="0">A5+1</f>
        <v>2</v>
      </c>
      <c r="B18" s="5">
        <v>1</v>
      </c>
      <c r="C18" s="5">
        <f>MAX(VLOOKUP(表3_3[[#This Row],[皮肤id]],表1[[id]:[魅力]],15,FALSE),100)*(1+VLOOKUP(表3_3[[#This Row],[星级]],[2]魅力系统!$E$41:$F$53,2,FALSE))</f>
        <v>375</v>
      </c>
      <c r="D18" s="5">
        <f>表3_3[[#This Row],[星级]]^2*20000+20000*表3_3[[#This Row],[星级]]</f>
        <v>40000</v>
      </c>
      <c r="E18" s="5" t="str">
        <f>"["&amp;IF(表3_3[[#This Row],[星级]]=0,"","""w"&amp;500+表3_3[[#This Row],[皮肤id]]&amp;""","&amp;VLOOKUP(表3_3[[#This Row],[星级]],description!$C$1:$D$13,2,FALSE))&amp;"]"</f>
        <v>["w502",10]</v>
      </c>
      <c r="F1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1</v>
      </c>
      <c r="O18" s="5">
        <v>0</v>
      </c>
      <c r="P1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9" spans="1:16" x14ac:dyDescent="0.15">
      <c r="A19" s="5">
        <f t="shared" si="0"/>
        <v>2</v>
      </c>
      <c r="B19" s="5">
        <v>2</v>
      </c>
      <c r="C19" s="5">
        <f>MAX(VLOOKUP(表3_3[[#This Row],[皮肤id]],表1[[id]:[魅力]],15,FALSE),100)*(1+VLOOKUP(表3_3[[#This Row],[星级]],[2]魅力系统!$E$41:$F$53,2,FALSE))</f>
        <v>500</v>
      </c>
      <c r="D19" s="5">
        <f>表3_3[[#This Row],[星级]]^2*20000+20000*表3_3[[#This Row],[星级]]</f>
        <v>120000</v>
      </c>
      <c r="E19" s="5" t="str">
        <f>"["&amp;IF(表3_3[[#This Row],[星级]]=0,"","""w"&amp;500+表3_3[[#This Row],[皮肤id]]&amp;""","&amp;VLOOKUP(表3_3[[#This Row],[星级]],description!$C$1:$D$13,2,FALSE))&amp;"]"</f>
        <v>["w502",20]</v>
      </c>
      <c r="F1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["02z1","",""]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0</v>
      </c>
      <c r="P1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0" spans="1:16" x14ac:dyDescent="0.15">
      <c r="A20" s="5">
        <f t="shared" si="0"/>
        <v>2</v>
      </c>
      <c r="B20" s="5">
        <v>3</v>
      </c>
      <c r="C20" s="5">
        <f>MAX(VLOOKUP(表3_3[[#This Row],[皮肤id]],表1[[id]:[魅力]],15,FALSE),100)*(1+VLOOKUP(表3_3[[#This Row],[星级]],[2]魅力系统!$E$41:$F$53,2,FALSE))</f>
        <v>625</v>
      </c>
      <c r="D20" s="5">
        <f>表3_3[[#This Row],[星级]]^2*20000+20000*表3_3[[#This Row],[星级]]</f>
        <v>240000</v>
      </c>
      <c r="E20" s="5" t="str">
        <f>"["&amp;IF(表3_3[[#This Row],[星级]]=0,"","""w"&amp;500+表3_3[[#This Row],[皮肤id]]&amp;""","&amp;VLOOKUP(表3_3[[#This Row],[星级]],description!$C$1:$D$13,2,FALSE))&amp;"]"</f>
        <v>["w502",40]</v>
      </c>
      <c r="F2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["02z1","",""]</v>
      </c>
      <c r="G20" s="5">
        <v>0</v>
      </c>
      <c r="H20" s="5">
        <v>0</v>
      </c>
      <c r="I20" s="5">
        <v>0</v>
      </c>
      <c r="J20" s="5">
        <v>0</v>
      </c>
      <c r="K20" s="5">
        <v>0.01</v>
      </c>
      <c r="L20" s="5">
        <v>0</v>
      </c>
      <c r="M20" s="5">
        <v>0</v>
      </c>
      <c r="N20" s="5">
        <v>1</v>
      </c>
      <c r="O20" s="5">
        <v>0</v>
      </c>
      <c r="P2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1" spans="1:16" x14ac:dyDescent="0.15">
      <c r="A21" s="5">
        <f t="shared" si="0"/>
        <v>2</v>
      </c>
      <c r="B21" s="5">
        <v>4</v>
      </c>
      <c r="C21" s="5">
        <f>MAX(VLOOKUP(表3_3[[#This Row],[皮肤id]],表1[[id]:[魅力]],15,FALSE),100)*(1+VLOOKUP(表3_3[[#This Row],[星级]],[2]魅力系统!$E$41:$F$53,2,FALSE))</f>
        <v>750</v>
      </c>
      <c r="D21" s="5">
        <f>表3_3[[#This Row],[星级]]^2*20000+20000*表3_3[[#This Row],[星级]]</f>
        <v>400000</v>
      </c>
      <c r="E21" s="5" t="str">
        <f>"["&amp;IF(表3_3[[#This Row],[星级]]=0,"","""w"&amp;500+表3_3[[#This Row],[皮肤id]]&amp;""","&amp;VLOOKUP(表3_3[[#This Row],[星级]],description!$C$1:$D$13,2,FALSE))&amp;"]"</f>
        <v>["w502",60]</v>
      </c>
      <c r="F2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["02z1","",""]</v>
      </c>
      <c r="G21" s="5">
        <v>0</v>
      </c>
      <c r="H21" s="5">
        <v>0</v>
      </c>
      <c r="I21" s="5">
        <v>0</v>
      </c>
      <c r="J21" s="5">
        <v>0</v>
      </c>
      <c r="K21" s="5">
        <v>0.01</v>
      </c>
      <c r="L21" s="5">
        <v>0</v>
      </c>
      <c r="M21" s="5">
        <v>0</v>
      </c>
      <c r="N21" s="5">
        <v>2</v>
      </c>
      <c r="O21" s="5">
        <v>0</v>
      </c>
      <c r="P2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2" spans="1:16" x14ac:dyDescent="0.15">
      <c r="A22" s="5">
        <f t="shared" si="0"/>
        <v>2</v>
      </c>
      <c r="B22" s="5">
        <v>5</v>
      </c>
      <c r="C22" s="5">
        <f>MAX(VLOOKUP(表3_3[[#This Row],[皮肤id]],表1[[id]:[魅力]],15,FALSE),100)*(1+VLOOKUP(表3_3[[#This Row],[星级]],[2]魅力系统!$E$41:$F$53,2,FALSE))</f>
        <v>875</v>
      </c>
      <c r="D22" s="5">
        <f>表3_3[[#This Row],[星级]]^2*20000+20000*表3_3[[#This Row],[星级]]</f>
        <v>600000</v>
      </c>
      <c r="E22" s="5" t="str">
        <f>"["&amp;IF(表3_3[[#This Row],[星级]]=0,"","""w"&amp;500+表3_3[[#This Row],[皮肤id]]&amp;""","&amp;VLOOKUP(表3_3[[#This Row],[星级]],description!$C$1:$D$13,2,FALSE))&amp;"]"</f>
        <v>["w502",100]</v>
      </c>
      <c r="F2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["02z1","02z2",""]</v>
      </c>
      <c r="G22" s="5">
        <v>0</v>
      </c>
      <c r="H22" s="5">
        <v>0</v>
      </c>
      <c r="I22" s="5">
        <v>0</v>
      </c>
      <c r="J22" s="5">
        <v>0</v>
      </c>
      <c r="K22" s="5">
        <v>0.01</v>
      </c>
      <c r="L22" s="5">
        <v>0</v>
      </c>
      <c r="M22" s="5">
        <v>0</v>
      </c>
      <c r="N22" s="5">
        <v>2</v>
      </c>
      <c r="O22" s="5">
        <v>0</v>
      </c>
      <c r="P2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3" spans="1:16" x14ac:dyDescent="0.15">
      <c r="A23" s="5">
        <f t="shared" si="0"/>
        <v>2</v>
      </c>
      <c r="B23" s="5">
        <v>6</v>
      </c>
      <c r="C23" s="5">
        <f>MAX(VLOOKUP(表3_3[[#This Row],[皮肤id]],表1[[id]:[魅力]],15,FALSE),100)*(1+VLOOKUP(表3_3[[#This Row],[星级]],[2]魅力系统!$E$41:$F$53,2,FALSE))</f>
        <v>1000</v>
      </c>
      <c r="D23" s="5">
        <f>表3_3[[#This Row],[星级]]^2*20000+20000*表3_3[[#This Row],[星级]]</f>
        <v>840000</v>
      </c>
      <c r="E23" s="5" t="str">
        <f>"["&amp;IF(表3_3[[#This Row],[星级]]=0,"","""w"&amp;500+表3_3[[#This Row],[皮肤id]]&amp;""","&amp;VLOOKUP(表3_3[[#This Row],[星级]],description!$C$1:$D$13,2,FALSE))&amp;"]"</f>
        <v>["w502",200]</v>
      </c>
      <c r="F2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["02z1","02z2",""]</v>
      </c>
      <c r="G23" s="5">
        <v>0</v>
      </c>
      <c r="H23" s="5">
        <v>0</v>
      </c>
      <c r="I23" s="5">
        <v>0</v>
      </c>
      <c r="J23" s="5">
        <v>0</v>
      </c>
      <c r="K23" s="5">
        <v>0.02</v>
      </c>
      <c r="L23" s="5">
        <v>0</v>
      </c>
      <c r="M23" s="5">
        <v>0</v>
      </c>
      <c r="N23" s="5">
        <v>2</v>
      </c>
      <c r="O23" s="5">
        <v>0</v>
      </c>
      <c r="P2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4" spans="1:16" x14ac:dyDescent="0.15">
      <c r="A24" s="5">
        <f t="shared" si="0"/>
        <v>2</v>
      </c>
      <c r="B24" s="5">
        <v>7</v>
      </c>
      <c r="C24" s="5">
        <f>MAX(VLOOKUP(表3_3[[#This Row],[皮肤id]],表1[[id]:[魅力]],15,FALSE),100)*(1+VLOOKUP(表3_3[[#This Row],[星级]],[2]魅力系统!$E$41:$F$53,2,FALSE))</f>
        <v>1125</v>
      </c>
      <c r="D24" s="5">
        <f>表3_3[[#This Row],[星级]]^2*20000+20000*表3_3[[#This Row],[星级]]</f>
        <v>1120000</v>
      </c>
      <c r="E24" s="5" t="str">
        <f>"["&amp;IF(表3_3[[#This Row],[星级]]=0,"","""w"&amp;500+表3_3[[#This Row],[皮肤id]]&amp;""","&amp;VLOOKUP(表3_3[[#This Row],[星级]],description!$C$1:$D$13,2,FALSE))&amp;"]"</f>
        <v>["w502",400]</v>
      </c>
      <c r="F2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["02z1","02z2",""]</v>
      </c>
      <c r="G24" s="5">
        <v>0</v>
      </c>
      <c r="H24" s="5">
        <v>0</v>
      </c>
      <c r="I24" s="5">
        <v>0</v>
      </c>
      <c r="J24" s="5">
        <v>0</v>
      </c>
      <c r="K24" s="5">
        <v>0.02</v>
      </c>
      <c r="L24" s="5">
        <v>0</v>
      </c>
      <c r="M24" s="5">
        <v>0</v>
      </c>
      <c r="N24" s="5">
        <v>3</v>
      </c>
      <c r="O24" s="5">
        <v>0</v>
      </c>
      <c r="P2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5" spans="1:16" x14ac:dyDescent="0.15">
      <c r="A25" s="5">
        <f t="shared" si="0"/>
        <v>2</v>
      </c>
      <c r="B25" s="5">
        <v>8</v>
      </c>
      <c r="C25" s="5">
        <f>MAX(VLOOKUP(表3_3[[#This Row],[皮肤id]],表1[[id]:[魅力]],15,FALSE),100)*(1+VLOOKUP(表3_3[[#This Row],[星级]],[2]魅力系统!$E$41:$F$53,2,FALSE))</f>
        <v>1250</v>
      </c>
      <c r="D25" s="5">
        <f>表3_3[[#This Row],[星级]]^2*20000+20000*表3_3[[#This Row],[星级]]</f>
        <v>1440000</v>
      </c>
      <c r="E25" s="5" t="str">
        <f>"["&amp;IF(表3_3[[#This Row],[星级]]=0,"","""w"&amp;500+表3_3[[#This Row],[皮肤id]]&amp;""","&amp;VLOOKUP(表3_3[[#This Row],[星级]],description!$C$1:$D$13,2,FALSE))&amp;"]"</f>
        <v>["w502",700]</v>
      </c>
      <c r="F2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["02z1","02z2","3jie"]</v>
      </c>
      <c r="G25" s="5">
        <v>0</v>
      </c>
      <c r="H25" s="5">
        <v>0</v>
      </c>
      <c r="I25" s="5">
        <v>0</v>
      </c>
      <c r="J25" s="5">
        <v>0</v>
      </c>
      <c r="K25" s="5">
        <v>0.02</v>
      </c>
      <c r="L25" s="5">
        <v>0</v>
      </c>
      <c r="M25" s="5">
        <v>0</v>
      </c>
      <c r="N25" s="5">
        <v>3</v>
      </c>
      <c r="O25" s="5">
        <v>0</v>
      </c>
      <c r="P2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6" spans="1:16" x14ac:dyDescent="0.15">
      <c r="A26" s="5">
        <f t="shared" si="0"/>
        <v>2</v>
      </c>
      <c r="B26" s="5">
        <v>9</v>
      </c>
      <c r="C26" s="5">
        <f>MAX(VLOOKUP(表3_3[[#This Row],[皮肤id]],表1[[id]:[魅力]],15,FALSE),100)*(1+VLOOKUP(表3_3[[#This Row],[星级]],[2]魅力系统!$E$41:$F$53,2,FALSE))</f>
        <v>1500</v>
      </c>
      <c r="D26" s="5">
        <f>表3_3[[#This Row],[星级]]^2*20000+20000*表3_3[[#This Row],[星级]]</f>
        <v>1800000</v>
      </c>
      <c r="E26" s="5" t="str">
        <f>"["&amp;IF(表3_3[[#This Row],[星级]]=0,"","""w"&amp;500+表3_3[[#This Row],[皮肤id]]&amp;""","&amp;VLOOKUP(表3_3[[#This Row],[星级]],description!$C$1:$D$13,2,FALSE))&amp;"]"</f>
        <v>["w502",1000]</v>
      </c>
      <c r="F2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["02z1","02z2","3jie"]</v>
      </c>
      <c r="G26" s="5">
        <v>0</v>
      </c>
      <c r="H26" s="5">
        <v>0</v>
      </c>
      <c r="I26" s="5">
        <v>0</v>
      </c>
      <c r="J26" s="5">
        <v>0</v>
      </c>
      <c r="K26" s="5">
        <v>0.02</v>
      </c>
      <c r="L26" s="5">
        <v>0</v>
      </c>
      <c r="M26" s="5">
        <v>0</v>
      </c>
      <c r="N26" s="5">
        <v>4</v>
      </c>
      <c r="O26" s="5">
        <v>0</v>
      </c>
      <c r="P2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7" spans="1:16" x14ac:dyDescent="0.15">
      <c r="A27" s="5">
        <f t="shared" si="0"/>
        <v>2</v>
      </c>
      <c r="B27" s="5">
        <v>10</v>
      </c>
      <c r="C27" s="5">
        <f>MAX(VLOOKUP(表3_3[[#This Row],[皮肤id]],表1[[id]:[魅力]],15,FALSE),100)*(1+VLOOKUP(表3_3[[#This Row],[星级]],[2]魅力系统!$E$41:$F$53,2,FALSE))</f>
        <v>1750</v>
      </c>
      <c r="D27" s="5">
        <f>表3_3[[#This Row],[星级]]^2*20000+20000*表3_3[[#This Row],[星级]]</f>
        <v>2200000</v>
      </c>
      <c r="E27" s="5" t="str">
        <f>"["&amp;IF(表3_3[[#This Row],[星级]]=0,"","""w"&amp;500+表3_3[[#This Row],[皮肤id]]&amp;""","&amp;VLOOKUP(表3_3[[#This Row],[星级]],description!$C$1:$D$13,2,FALSE))&amp;"]"</f>
        <v>["w502",1800]</v>
      </c>
      <c r="F2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["02z1","02z2","4jie"]</v>
      </c>
      <c r="G27" s="5">
        <v>0</v>
      </c>
      <c r="H27" s="5">
        <v>0</v>
      </c>
      <c r="I27" s="5">
        <v>0</v>
      </c>
      <c r="J27" s="5">
        <v>0</v>
      </c>
      <c r="K27" s="5">
        <v>0.02</v>
      </c>
      <c r="L27" s="5">
        <v>0</v>
      </c>
      <c r="M27" s="5">
        <v>0</v>
      </c>
      <c r="N27" s="5">
        <v>4</v>
      </c>
      <c r="O27" s="5">
        <v>0</v>
      </c>
      <c r="P2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28" spans="1:16" x14ac:dyDescent="0.15">
      <c r="A28" s="5">
        <f t="shared" si="0"/>
        <v>2</v>
      </c>
      <c r="B28" s="5">
        <v>11</v>
      </c>
      <c r="C28" s="5">
        <f>MAX(VLOOKUP(表3_3[[#This Row],[皮肤id]],表1[[id]:[魅力]],15,FALSE),100)*(1+VLOOKUP(表3_3[[#This Row],[星级]],[2]魅力系统!$E$41:$F$53,2,FALSE))</f>
        <v>2000</v>
      </c>
      <c r="D28" s="5">
        <f>表3_3[[#This Row],[星级]]^2*20000+20000*表3_3[[#This Row],[星级]]</f>
        <v>2640000</v>
      </c>
      <c r="E28" s="5" t="str">
        <f>"["&amp;IF(表3_3[[#This Row],[星级]]=0,"","""w"&amp;500+表3_3[[#This Row],[皮肤id]]&amp;""","&amp;VLOOKUP(表3_3[[#This Row],[星级]],description!$C$1:$D$13,2,FALSE))&amp;"]"</f>
        <v>["w502",2600]</v>
      </c>
      <c r="F2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["02z1","02z2","4jie"]</v>
      </c>
      <c r="G28" s="5">
        <v>0</v>
      </c>
      <c r="H28" s="5">
        <v>0</v>
      </c>
      <c r="I28" s="5">
        <v>0</v>
      </c>
      <c r="J28" s="5">
        <v>0</v>
      </c>
      <c r="K28" s="5">
        <v>0.02</v>
      </c>
      <c r="L28" s="5">
        <v>0</v>
      </c>
      <c r="M28" s="5">
        <v>0</v>
      </c>
      <c r="N28" s="5">
        <v>5</v>
      </c>
      <c r="O28" s="5">
        <v>0</v>
      </c>
      <c r="P2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29" spans="1:16" x14ac:dyDescent="0.15">
      <c r="A29" s="5">
        <f t="shared" si="0"/>
        <v>2</v>
      </c>
      <c r="B29" s="5">
        <v>12</v>
      </c>
      <c r="C29" s="5">
        <f>MAX(VLOOKUP(表3_3[[#This Row],[皮肤id]],表1[[id]:[魅力]],15,FALSE),100)*(1+VLOOKUP(表3_3[[#This Row],[星级]],[2]魅力系统!$E$41:$F$53,2,FALSE))</f>
        <v>2250</v>
      </c>
      <c r="D29" s="5">
        <f>表3_3[[#This Row],[星级]]^2*20000+20000*表3_3[[#This Row],[星级]]</f>
        <v>3120000</v>
      </c>
      <c r="E29" s="5" t="str">
        <f>"["&amp;IF(表3_3[[#This Row],[星级]]=0,"","""w"&amp;500+表3_3[[#This Row],[皮肤id]]&amp;""","&amp;VLOOKUP(表3_3[[#This Row],[星级]],description!$C$1:$D$13,2,FALSE))&amp;"]"</f>
        <v>["w502",3600]</v>
      </c>
      <c r="F2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["02z1","02z2","4jie"]</v>
      </c>
      <c r="G29" s="5">
        <v>0</v>
      </c>
      <c r="H29" s="5">
        <v>0</v>
      </c>
      <c r="I29" s="5">
        <v>0</v>
      </c>
      <c r="J29" s="5">
        <v>0</v>
      </c>
      <c r="K29" s="5">
        <v>0.03</v>
      </c>
      <c r="L29" s="5">
        <v>0</v>
      </c>
      <c r="M29" s="5">
        <v>0</v>
      </c>
      <c r="N29" s="5">
        <v>5</v>
      </c>
      <c r="O29" s="5">
        <v>0</v>
      </c>
      <c r="P2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30" spans="1:16" x14ac:dyDescent="0.15">
      <c r="A30" s="5">
        <f>A17+1</f>
        <v>3</v>
      </c>
      <c r="B30" s="5">
        <v>0</v>
      </c>
      <c r="C30" s="5">
        <f>MAX(VLOOKUP(表3_3[[#This Row],[皮肤id]],表1[[id]:[魅力]],15,FALSE),100)*(1+VLOOKUP(表3_3[[#This Row],[星级]],[2]魅力系统!$E$41:$F$53,2,FALSE))</f>
        <v>1000</v>
      </c>
      <c r="D30" s="5">
        <f>表3_3[[#This Row],[星级]]^2*20000+20000*表3_3[[#This Row],[星级]]</f>
        <v>0</v>
      </c>
      <c r="E30" s="5" t="str">
        <f>"["&amp;IF(表3_3[[#This Row],[星级]]=0,"","""w"&amp;500+表3_3[[#This Row],[皮肤id]]&amp;""","&amp;VLOOKUP(表3_3[[#This Row],[星级]],description!$C$1:$D$13,2,FALSE))&amp;"]"</f>
        <v>[]</v>
      </c>
      <c r="F3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1" spans="1:16" x14ac:dyDescent="0.15">
      <c r="A31" s="5">
        <f t="shared" si="0"/>
        <v>3</v>
      </c>
      <c r="B31" s="5">
        <v>1</v>
      </c>
      <c r="C31" s="5">
        <f>MAX(VLOOKUP(表3_3[[#This Row],[皮肤id]],表1[[id]:[魅力]],15,FALSE),100)*(1+VLOOKUP(表3_3[[#This Row],[星级]],[2]魅力系统!$E$41:$F$53,2,FALSE))</f>
        <v>1500</v>
      </c>
      <c r="D31" s="5">
        <f>表3_3[[#This Row],[星级]]^2*20000+20000*表3_3[[#This Row],[星级]]</f>
        <v>40000</v>
      </c>
      <c r="E31" s="5" t="str">
        <f>"["&amp;IF(表3_3[[#This Row],[星级]]=0,"","""w"&amp;500+表3_3[[#This Row],[皮肤id]]&amp;""","&amp;VLOOKUP(表3_3[[#This Row],[星级]],description!$C$1:$D$13,2,FALSE))&amp;"]"</f>
        <v>["w503",10]</v>
      </c>
      <c r="F3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4.0000000000000001E-3</v>
      </c>
      <c r="P3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2" spans="1:16" x14ac:dyDescent="0.15">
      <c r="A32" s="5">
        <f t="shared" si="0"/>
        <v>3</v>
      </c>
      <c r="B32" s="5">
        <v>2</v>
      </c>
      <c r="C32" s="5">
        <f>MAX(VLOOKUP(表3_3[[#This Row],[皮肤id]],表1[[id]:[魅力]],15,FALSE),100)*(1+VLOOKUP(表3_3[[#This Row],[星级]],[2]魅力系统!$E$41:$F$53,2,FALSE))</f>
        <v>2000</v>
      </c>
      <c r="D32" s="5">
        <f>表3_3[[#This Row],[星级]]^2*20000+20000*表3_3[[#This Row],[星级]]</f>
        <v>120000</v>
      </c>
      <c r="E32" s="5" t="str">
        <f>"["&amp;IF(表3_3[[#This Row],[星级]]=0,"","""w"&amp;500+表3_3[[#This Row],[皮肤id]]&amp;""","&amp;VLOOKUP(表3_3[[#This Row],[星级]],description!$C$1:$D$13,2,FALSE))&amp;"]"</f>
        <v>["w503",20]</v>
      </c>
      <c r="F3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["03z1","",""]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4.0000000000000001E-3</v>
      </c>
      <c r="P3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3" spans="1:16" x14ac:dyDescent="0.15">
      <c r="A33" s="5">
        <f t="shared" si="0"/>
        <v>3</v>
      </c>
      <c r="B33" s="5">
        <v>3</v>
      </c>
      <c r="C33" s="5">
        <f>MAX(VLOOKUP(表3_3[[#This Row],[皮肤id]],表1[[id]:[魅力]],15,FALSE),100)*(1+VLOOKUP(表3_3[[#This Row],[星级]],[2]魅力系统!$E$41:$F$53,2,FALSE))</f>
        <v>2500</v>
      </c>
      <c r="D33" s="5">
        <f>表3_3[[#This Row],[星级]]^2*20000+20000*表3_3[[#This Row],[星级]]</f>
        <v>240000</v>
      </c>
      <c r="E33" s="5" t="str">
        <f>"["&amp;IF(表3_3[[#This Row],[星级]]=0,"","""w"&amp;500+表3_3[[#This Row],[皮肤id]]&amp;""","&amp;VLOOKUP(表3_3[[#This Row],[星级]],description!$C$1:$D$13,2,FALSE))&amp;"]"</f>
        <v>["w503",40]</v>
      </c>
      <c r="F3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["03z1","",""]</v>
      </c>
      <c r="G33" s="5">
        <v>0</v>
      </c>
      <c r="H33" s="5">
        <v>0</v>
      </c>
      <c r="I33" s="5">
        <v>0</v>
      </c>
      <c r="J33" s="5">
        <v>0</v>
      </c>
      <c r="K33" s="5">
        <v>0.01</v>
      </c>
      <c r="L33" s="5">
        <v>0</v>
      </c>
      <c r="M33" s="5">
        <v>0</v>
      </c>
      <c r="N33" s="5">
        <v>0</v>
      </c>
      <c r="O33" s="5">
        <v>4.0000000000000001E-3</v>
      </c>
      <c r="P3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4" spans="1:16" x14ac:dyDescent="0.15">
      <c r="A34" s="5">
        <f t="shared" si="0"/>
        <v>3</v>
      </c>
      <c r="B34" s="5">
        <v>4</v>
      </c>
      <c r="C34" s="5">
        <f>MAX(VLOOKUP(表3_3[[#This Row],[皮肤id]],表1[[id]:[魅力]],15,FALSE),100)*(1+VLOOKUP(表3_3[[#This Row],[星级]],[2]魅力系统!$E$41:$F$53,2,FALSE))</f>
        <v>3000</v>
      </c>
      <c r="D34" s="5">
        <f>表3_3[[#This Row],[星级]]^2*20000+20000*表3_3[[#This Row],[星级]]</f>
        <v>400000</v>
      </c>
      <c r="E34" s="5" t="str">
        <f>"["&amp;IF(表3_3[[#This Row],[星级]]=0,"","""w"&amp;500+表3_3[[#This Row],[皮肤id]]&amp;""","&amp;VLOOKUP(表3_3[[#This Row],[星级]],description!$C$1:$D$13,2,FALSE))&amp;"]"</f>
        <v>["w503",60]</v>
      </c>
      <c r="F3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["03z1","",""]</v>
      </c>
      <c r="G34" s="5">
        <v>0</v>
      </c>
      <c r="H34" s="5">
        <v>0</v>
      </c>
      <c r="I34" s="5">
        <v>0</v>
      </c>
      <c r="J34" s="5">
        <v>0</v>
      </c>
      <c r="K34" s="5">
        <v>0.01</v>
      </c>
      <c r="L34" s="5">
        <v>0</v>
      </c>
      <c r="M34" s="5">
        <v>0</v>
      </c>
      <c r="N34" s="5">
        <v>0</v>
      </c>
      <c r="O34" s="5">
        <v>5.0000000000000001E-3</v>
      </c>
      <c r="P3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5" spans="1:16" x14ac:dyDescent="0.15">
      <c r="A35" s="5">
        <f t="shared" si="0"/>
        <v>3</v>
      </c>
      <c r="B35" s="5">
        <v>5</v>
      </c>
      <c r="C35" s="5">
        <f>MAX(VLOOKUP(表3_3[[#This Row],[皮肤id]],表1[[id]:[魅力]],15,FALSE),100)*(1+VLOOKUP(表3_3[[#This Row],[星级]],[2]魅力系统!$E$41:$F$53,2,FALSE))</f>
        <v>3500</v>
      </c>
      <c r="D35" s="5">
        <f>表3_3[[#This Row],[星级]]^2*20000+20000*表3_3[[#This Row],[星级]]</f>
        <v>600000</v>
      </c>
      <c r="E35" s="5" t="str">
        <f>"["&amp;IF(表3_3[[#This Row],[星级]]=0,"","""w"&amp;500+表3_3[[#This Row],[皮肤id]]&amp;""","&amp;VLOOKUP(表3_3[[#This Row],[星级]],description!$C$1:$D$13,2,FALSE))&amp;"]"</f>
        <v>["w503",100]</v>
      </c>
      <c r="F3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["03z1","03z2",""]</v>
      </c>
      <c r="G35" s="5">
        <v>0</v>
      </c>
      <c r="H35" s="5">
        <v>0</v>
      </c>
      <c r="I35" s="5">
        <v>0</v>
      </c>
      <c r="J35" s="5">
        <v>0</v>
      </c>
      <c r="K35" s="5">
        <v>0.01</v>
      </c>
      <c r="L35" s="5">
        <v>0</v>
      </c>
      <c r="M35" s="5">
        <v>0</v>
      </c>
      <c r="N35" s="5">
        <v>0</v>
      </c>
      <c r="O35" s="5">
        <v>5.0000000000000001E-3</v>
      </c>
      <c r="P3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6" spans="1:16" x14ac:dyDescent="0.15">
      <c r="A36" s="5">
        <f t="shared" si="0"/>
        <v>3</v>
      </c>
      <c r="B36" s="5">
        <v>6</v>
      </c>
      <c r="C36" s="5">
        <f>MAX(VLOOKUP(表3_3[[#This Row],[皮肤id]],表1[[id]:[魅力]],15,FALSE),100)*(1+VLOOKUP(表3_3[[#This Row],[星级]],[2]魅力系统!$E$41:$F$53,2,FALSE))</f>
        <v>4000</v>
      </c>
      <c r="D36" s="5">
        <f>表3_3[[#This Row],[星级]]^2*20000+20000*表3_3[[#This Row],[星级]]</f>
        <v>840000</v>
      </c>
      <c r="E36" s="5" t="str">
        <f>"["&amp;IF(表3_3[[#This Row],[星级]]=0,"","""w"&amp;500+表3_3[[#This Row],[皮肤id]]&amp;""","&amp;VLOOKUP(表3_3[[#This Row],[星级]],description!$C$1:$D$13,2,FALSE))&amp;"]"</f>
        <v>["w503",200]</v>
      </c>
      <c r="F3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["03z1","03z2",""]</v>
      </c>
      <c r="G36" s="5">
        <v>0</v>
      </c>
      <c r="H36" s="5">
        <v>0</v>
      </c>
      <c r="I36" s="5">
        <v>0</v>
      </c>
      <c r="J36" s="5">
        <v>0</v>
      </c>
      <c r="K36" s="5">
        <v>0.02</v>
      </c>
      <c r="L36" s="5">
        <v>0</v>
      </c>
      <c r="M36" s="5">
        <v>0</v>
      </c>
      <c r="N36" s="5">
        <v>0</v>
      </c>
      <c r="O36" s="5">
        <v>5.0000000000000001E-3</v>
      </c>
      <c r="P3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7" spans="1:16" x14ac:dyDescent="0.15">
      <c r="A37" s="5">
        <f t="shared" si="0"/>
        <v>3</v>
      </c>
      <c r="B37" s="5">
        <v>7</v>
      </c>
      <c r="C37" s="5">
        <f>MAX(VLOOKUP(表3_3[[#This Row],[皮肤id]],表1[[id]:[魅力]],15,FALSE),100)*(1+VLOOKUP(表3_3[[#This Row],[星级]],[2]魅力系统!$E$41:$F$53,2,FALSE))</f>
        <v>4500</v>
      </c>
      <c r="D37" s="5">
        <f>表3_3[[#This Row],[星级]]^2*20000+20000*表3_3[[#This Row],[星级]]</f>
        <v>1120000</v>
      </c>
      <c r="E37" s="5" t="str">
        <f>"["&amp;IF(表3_3[[#This Row],[星级]]=0,"","""w"&amp;500+表3_3[[#This Row],[皮肤id]]&amp;""","&amp;VLOOKUP(表3_3[[#This Row],[星级]],description!$C$1:$D$13,2,FALSE))&amp;"]"</f>
        <v>["w503",400]</v>
      </c>
      <c r="F3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["03z1","03z2",""]</v>
      </c>
      <c r="G37" s="5">
        <v>0</v>
      </c>
      <c r="H37" s="5">
        <v>0</v>
      </c>
      <c r="I37" s="5">
        <v>0</v>
      </c>
      <c r="J37" s="5">
        <v>0</v>
      </c>
      <c r="K37" s="5">
        <v>0.02</v>
      </c>
      <c r="L37" s="5">
        <v>0</v>
      </c>
      <c r="M37" s="5">
        <v>0</v>
      </c>
      <c r="N37" s="5">
        <v>0</v>
      </c>
      <c r="O37" s="5">
        <v>6.0000000000000001E-3</v>
      </c>
      <c r="P3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8" spans="1:16" x14ac:dyDescent="0.15">
      <c r="A38" s="5">
        <f t="shared" si="0"/>
        <v>3</v>
      </c>
      <c r="B38" s="5">
        <v>8</v>
      </c>
      <c r="C38" s="5">
        <f>MAX(VLOOKUP(表3_3[[#This Row],[皮肤id]],表1[[id]:[魅力]],15,FALSE),100)*(1+VLOOKUP(表3_3[[#This Row],[星级]],[2]魅力系统!$E$41:$F$53,2,FALSE))</f>
        <v>5000</v>
      </c>
      <c r="D38" s="5">
        <f>表3_3[[#This Row],[星级]]^2*20000+20000*表3_3[[#This Row],[星级]]</f>
        <v>1440000</v>
      </c>
      <c r="E38" s="5" t="str">
        <f>"["&amp;IF(表3_3[[#This Row],[星级]]=0,"","""w"&amp;500+表3_3[[#This Row],[皮肤id]]&amp;""","&amp;VLOOKUP(表3_3[[#This Row],[星级]],description!$C$1:$D$13,2,FALSE))&amp;"]"</f>
        <v>["w503",700]</v>
      </c>
      <c r="F3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["03z1","03z2","3jie"]</v>
      </c>
      <c r="G38" s="5">
        <v>0</v>
      </c>
      <c r="H38" s="5">
        <v>0</v>
      </c>
      <c r="I38" s="5">
        <v>0</v>
      </c>
      <c r="J38" s="5">
        <v>0</v>
      </c>
      <c r="K38" s="5">
        <v>0.02</v>
      </c>
      <c r="L38" s="5">
        <v>0</v>
      </c>
      <c r="M38" s="5">
        <v>0</v>
      </c>
      <c r="N38" s="5">
        <v>0</v>
      </c>
      <c r="O38" s="5">
        <v>6.0000000000000001E-3</v>
      </c>
      <c r="P3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39" spans="1:16" x14ac:dyDescent="0.15">
      <c r="A39" s="5">
        <f t="shared" si="0"/>
        <v>3</v>
      </c>
      <c r="B39" s="5">
        <v>9</v>
      </c>
      <c r="C39" s="5">
        <f>MAX(VLOOKUP(表3_3[[#This Row],[皮肤id]],表1[[id]:[魅力]],15,FALSE),100)*(1+VLOOKUP(表3_3[[#This Row],[星级]],[2]魅力系统!$E$41:$F$53,2,FALSE))</f>
        <v>6000</v>
      </c>
      <c r="D39" s="5">
        <f>表3_3[[#This Row],[星级]]^2*20000+20000*表3_3[[#This Row],[星级]]</f>
        <v>1800000</v>
      </c>
      <c r="E39" s="5" t="str">
        <f>"["&amp;IF(表3_3[[#This Row],[星级]]=0,"","""w"&amp;500+表3_3[[#This Row],[皮肤id]]&amp;""","&amp;VLOOKUP(表3_3[[#This Row],[星级]],description!$C$1:$D$13,2,FALSE))&amp;"]"</f>
        <v>["w503",1000]</v>
      </c>
      <c r="F3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["03z1","03z2","3jie"]</v>
      </c>
      <c r="G39" s="5">
        <v>0</v>
      </c>
      <c r="H39" s="5">
        <v>0</v>
      </c>
      <c r="I39" s="5">
        <v>0</v>
      </c>
      <c r="J39" s="5">
        <v>0</v>
      </c>
      <c r="K39" s="5">
        <v>0.02</v>
      </c>
      <c r="L39" s="5">
        <v>0</v>
      </c>
      <c r="M39" s="5">
        <v>0</v>
      </c>
      <c r="N39" s="5">
        <v>0</v>
      </c>
      <c r="O39" s="5">
        <v>8.0000000000000002E-3</v>
      </c>
      <c r="P3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0" spans="1:16" x14ac:dyDescent="0.15">
      <c r="A40" s="5">
        <f t="shared" si="0"/>
        <v>3</v>
      </c>
      <c r="B40" s="5">
        <v>10</v>
      </c>
      <c r="C40" s="5">
        <f>MAX(VLOOKUP(表3_3[[#This Row],[皮肤id]],表1[[id]:[魅力]],15,FALSE),100)*(1+VLOOKUP(表3_3[[#This Row],[星级]],[2]魅力系统!$E$41:$F$53,2,FALSE))</f>
        <v>7000</v>
      </c>
      <c r="D40" s="5">
        <f>表3_3[[#This Row],[星级]]^2*20000+20000*表3_3[[#This Row],[星级]]</f>
        <v>2200000</v>
      </c>
      <c r="E40" s="5" t="str">
        <f>"["&amp;IF(表3_3[[#This Row],[星级]]=0,"","""w"&amp;500+表3_3[[#This Row],[皮肤id]]&amp;""","&amp;VLOOKUP(表3_3[[#This Row],[星级]],description!$C$1:$D$13,2,FALSE))&amp;"]"</f>
        <v>["w503",1800]</v>
      </c>
      <c r="F4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["03z1","03z2","4jie"]</v>
      </c>
      <c r="G40" s="5">
        <v>0</v>
      </c>
      <c r="H40" s="5">
        <v>0</v>
      </c>
      <c r="I40" s="5">
        <v>0</v>
      </c>
      <c r="J40" s="5">
        <v>0</v>
      </c>
      <c r="K40" s="5">
        <v>0.02</v>
      </c>
      <c r="L40" s="5">
        <v>0</v>
      </c>
      <c r="M40" s="5">
        <v>0</v>
      </c>
      <c r="N40" s="5">
        <v>0</v>
      </c>
      <c r="O40" s="5">
        <v>8.0000000000000002E-3</v>
      </c>
      <c r="P4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1" spans="1:16" x14ac:dyDescent="0.15">
      <c r="A41" s="5">
        <f t="shared" si="0"/>
        <v>3</v>
      </c>
      <c r="B41" s="5">
        <v>11</v>
      </c>
      <c r="C41" s="5">
        <f>MAX(VLOOKUP(表3_3[[#This Row],[皮肤id]],表1[[id]:[魅力]],15,FALSE),100)*(1+VLOOKUP(表3_3[[#This Row],[星级]],[2]魅力系统!$E$41:$F$53,2,FALSE))</f>
        <v>8000</v>
      </c>
      <c r="D41" s="5">
        <f>表3_3[[#This Row],[星级]]^2*20000+20000*表3_3[[#This Row],[星级]]</f>
        <v>2640000</v>
      </c>
      <c r="E41" s="5" t="str">
        <f>"["&amp;IF(表3_3[[#This Row],[星级]]=0,"","""w"&amp;500+表3_3[[#This Row],[皮肤id]]&amp;""","&amp;VLOOKUP(表3_3[[#This Row],[星级]],description!$C$1:$D$13,2,FALSE))&amp;"]"</f>
        <v>["w503",2600]</v>
      </c>
      <c r="F4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["03z1","03z2","4jie"]</v>
      </c>
      <c r="G41" s="5">
        <v>0</v>
      </c>
      <c r="H41" s="5">
        <v>0</v>
      </c>
      <c r="I41" s="5">
        <v>0</v>
      </c>
      <c r="J41" s="5">
        <v>0</v>
      </c>
      <c r="K41" s="5">
        <v>0.02</v>
      </c>
      <c r="L41" s="5">
        <v>0</v>
      </c>
      <c r="M41" s="5">
        <v>0</v>
      </c>
      <c r="N41" s="5">
        <v>0</v>
      </c>
      <c r="O41" s="5">
        <v>0.01</v>
      </c>
      <c r="P4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2" spans="1:16" x14ac:dyDescent="0.15">
      <c r="A42" s="5">
        <f t="shared" si="0"/>
        <v>3</v>
      </c>
      <c r="B42" s="5">
        <v>12</v>
      </c>
      <c r="C42" s="5">
        <f>MAX(VLOOKUP(表3_3[[#This Row],[皮肤id]],表1[[id]:[魅力]],15,FALSE),100)*(1+VLOOKUP(表3_3[[#This Row],[星级]],[2]魅力系统!$E$41:$F$53,2,FALSE))</f>
        <v>9000</v>
      </c>
      <c r="D42" s="5">
        <f>表3_3[[#This Row],[星级]]^2*20000+20000*表3_3[[#This Row],[星级]]</f>
        <v>3120000</v>
      </c>
      <c r="E42" s="5" t="str">
        <f>"["&amp;IF(表3_3[[#This Row],[星级]]=0,"","""w"&amp;500+表3_3[[#This Row],[皮肤id]]&amp;""","&amp;VLOOKUP(表3_3[[#This Row],[星级]],description!$C$1:$D$13,2,FALSE))&amp;"]"</f>
        <v>["w503",3600]</v>
      </c>
      <c r="F4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["03z1","03z2","4jie"]</v>
      </c>
      <c r="G42" s="5">
        <v>0</v>
      </c>
      <c r="H42" s="5">
        <v>0</v>
      </c>
      <c r="I42" s="5">
        <v>0</v>
      </c>
      <c r="J42" s="5">
        <v>0</v>
      </c>
      <c r="K42" s="5">
        <v>0.03</v>
      </c>
      <c r="L42" s="5">
        <v>0</v>
      </c>
      <c r="M42" s="5">
        <v>0</v>
      </c>
      <c r="N42" s="5">
        <v>0</v>
      </c>
      <c r="O42" s="5">
        <v>0.01</v>
      </c>
      <c r="P4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3" spans="1:16" x14ac:dyDescent="0.15">
      <c r="A43" s="5">
        <f>A30+1</f>
        <v>4</v>
      </c>
      <c r="B43" s="5">
        <v>0</v>
      </c>
      <c r="C43" s="5">
        <f>MAX(VLOOKUP(表3_3[[#This Row],[皮肤id]],表1[[id]:[魅力]],15,FALSE),100)*(1+VLOOKUP(表3_3[[#This Row],[星级]],[2]魅力系统!$E$41:$F$53,2,FALSE))</f>
        <v>400</v>
      </c>
      <c r="D43" s="5">
        <f>表3_3[[#This Row],[星级]]^2*20000+20000*表3_3[[#This Row],[星级]]</f>
        <v>0</v>
      </c>
      <c r="E43" s="5" t="str">
        <f>"["&amp;IF(表3_3[[#This Row],[星级]]=0,"","""w"&amp;500+表3_3[[#This Row],[皮肤id]]&amp;""","&amp;VLOOKUP(表3_3[[#This Row],[星级]],description!$C$1:$D$13,2,FALSE))&amp;"]"</f>
        <v>[]</v>
      </c>
      <c r="F4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4" spans="1:16" x14ac:dyDescent="0.15">
      <c r="A44" s="5">
        <f t="shared" si="0"/>
        <v>4</v>
      </c>
      <c r="B44" s="5">
        <v>1</v>
      </c>
      <c r="C44" s="5">
        <f>MAX(VLOOKUP(表3_3[[#This Row],[皮肤id]],表1[[id]:[魅力]],15,FALSE),100)*(1+VLOOKUP(表3_3[[#This Row],[星级]],[2]魅力系统!$E$41:$F$53,2,FALSE))</f>
        <v>600</v>
      </c>
      <c r="D44" s="5">
        <f>表3_3[[#This Row],[星级]]^2*20000+20000*表3_3[[#This Row],[星级]]</f>
        <v>40000</v>
      </c>
      <c r="E44" s="5" t="str">
        <f>"["&amp;IF(表3_3[[#This Row],[星级]]=0,"","""w"&amp;500+表3_3[[#This Row],[皮肤id]]&amp;""","&amp;VLOOKUP(表3_3[[#This Row],[星级]],description!$C$1:$D$13,2,FALSE))&amp;"]"</f>
        <v>["w504",10]</v>
      </c>
      <c r="F4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1</v>
      </c>
      <c r="O44" s="5">
        <v>0</v>
      </c>
      <c r="P4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5" spans="1:16" x14ac:dyDescent="0.15">
      <c r="A45" s="5">
        <f t="shared" si="0"/>
        <v>4</v>
      </c>
      <c r="B45" s="5">
        <v>2</v>
      </c>
      <c r="C45" s="5">
        <f>MAX(VLOOKUP(表3_3[[#This Row],[皮肤id]],表1[[id]:[魅力]],15,FALSE),100)*(1+VLOOKUP(表3_3[[#This Row],[星级]],[2]魅力系统!$E$41:$F$53,2,FALSE))</f>
        <v>800</v>
      </c>
      <c r="D45" s="5">
        <f>表3_3[[#This Row],[星级]]^2*20000+20000*表3_3[[#This Row],[星级]]</f>
        <v>120000</v>
      </c>
      <c r="E45" s="5" t="str">
        <f>"["&amp;IF(表3_3[[#This Row],[星级]]=0,"","""w"&amp;500+表3_3[[#This Row],[皮肤id]]&amp;""","&amp;VLOOKUP(表3_3[[#This Row],[星级]],description!$C$1:$D$13,2,FALSE))&amp;"]"</f>
        <v>["w504",20]</v>
      </c>
      <c r="F4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["04z1","",""]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1</v>
      </c>
      <c r="O45" s="5">
        <v>0</v>
      </c>
      <c r="P4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6" spans="1:16" x14ac:dyDescent="0.15">
      <c r="A46" s="5">
        <f t="shared" si="0"/>
        <v>4</v>
      </c>
      <c r="B46" s="5">
        <v>3</v>
      </c>
      <c r="C46" s="5">
        <f>MAX(VLOOKUP(表3_3[[#This Row],[皮肤id]],表1[[id]:[魅力]],15,FALSE),100)*(1+VLOOKUP(表3_3[[#This Row],[星级]],[2]魅力系统!$E$41:$F$53,2,FALSE))</f>
        <v>1000</v>
      </c>
      <c r="D46" s="5">
        <f>表3_3[[#This Row],[星级]]^2*20000+20000*表3_3[[#This Row],[星级]]</f>
        <v>240000</v>
      </c>
      <c r="E46" s="5" t="str">
        <f>"["&amp;IF(表3_3[[#This Row],[星级]]=0,"","""w"&amp;500+表3_3[[#This Row],[皮肤id]]&amp;""","&amp;VLOOKUP(表3_3[[#This Row],[星级]],description!$C$1:$D$13,2,FALSE))&amp;"]"</f>
        <v>["w504",40]</v>
      </c>
      <c r="F4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["04z1","",""]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0.01</v>
      </c>
      <c r="M46" s="5">
        <v>0</v>
      </c>
      <c r="N46" s="5">
        <v>1</v>
      </c>
      <c r="O46" s="5">
        <v>0</v>
      </c>
      <c r="P4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7" spans="1:16" x14ac:dyDescent="0.15">
      <c r="A47" s="5">
        <f t="shared" si="0"/>
        <v>4</v>
      </c>
      <c r="B47" s="5">
        <v>4</v>
      </c>
      <c r="C47" s="5">
        <f>MAX(VLOOKUP(表3_3[[#This Row],[皮肤id]],表1[[id]:[魅力]],15,FALSE),100)*(1+VLOOKUP(表3_3[[#This Row],[星级]],[2]魅力系统!$E$41:$F$53,2,FALSE))</f>
        <v>1200</v>
      </c>
      <c r="D47" s="5">
        <f>表3_3[[#This Row],[星级]]^2*20000+20000*表3_3[[#This Row],[星级]]</f>
        <v>400000</v>
      </c>
      <c r="E47" s="5" t="str">
        <f>"["&amp;IF(表3_3[[#This Row],[星级]]=0,"","""w"&amp;500+表3_3[[#This Row],[皮肤id]]&amp;""","&amp;VLOOKUP(表3_3[[#This Row],[星级]],description!$C$1:$D$13,2,FALSE))&amp;"]"</f>
        <v>["w504",60]</v>
      </c>
      <c r="F4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["04z1","",""]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0.01</v>
      </c>
      <c r="M47" s="5">
        <v>0</v>
      </c>
      <c r="N47" s="5">
        <v>2</v>
      </c>
      <c r="O47" s="5">
        <v>0</v>
      </c>
      <c r="P4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8" spans="1:16" x14ac:dyDescent="0.15">
      <c r="A48" s="5">
        <f t="shared" si="0"/>
        <v>4</v>
      </c>
      <c r="B48" s="5">
        <v>5</v>
      </c>
      <c r="C48" s="5">
        <f>MAX(VLOOKUP(表3_3[[#This Row],[皮肤id]],表1[[id]:[魅力]],15,FALSE),100)*(1+VLOOKUP(表3_3[[#This Row],[星级]],[2]魅力系统!$E$41:$F$53,2,FALSE))</f>
        <v>1400</v>
      </c>
      <c r="D48" s="5">
        <f>表3_3[[#This Row],[星级]]^2*20000+20000*表3_3[[#This Row],[星级]]</f>
        <v>600000</v>
      </c>
      <c r="E48" s="5" t="str">
        <f>"["&amp;IF(表3_3[[#This Row],[星级]]=0,"","""w"&amp;500+表3_3[[#This Row],[皮肤id]]&amp;""","&amp;VLOOKUP(表3_3[[#This Row],[星级]],description!$C$1:$D$13,2,FALSE))&amp;"]"</f>
        <v>["w504",100]</v>
      </c>
      <c r="F4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["04z1","04z2",""]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0.01</v>
      </c>
      <c r="M48" s="5">
        <v>0</v>
      </c>
      <c r="N48" s="5">
        <v>2</v>
      </c>
      <c r="O48" s="5">
        <v>0</v>
      </c>
      <c r="P4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49" spans="1:16" x14ac:dyDescent="0.15">
      <c r="A49" s="5">
        <f t="shared" si="0"/>
        <v>4</v>
      </c>
      <c r="B49" s="5">
        <v>6</v>
      </c>
      <c r="C49" s="5">
        <f>MAX(VLOOKUP(表3_3[[#This Row],[皮肤id]],表1[[id]:[魅力]],15,FALSE),100)*(1+VLOOKUP(表3_3[[#This Row],[星级]],[2]魅力系统!$E$41:$F$53,2,FALSE))</f>
        <v>1600</v>
      </c>
      <c r="D49" s="5">
        <f>表3_3[[#This Row],[星级]]^2*20000+20000*表3_3[[#This Row],[星级]]</f>
        <v>840000</v>
      </c>
      <c r="E49" s="5" t="str">
        <f>"["&amp;IF(表3_3[[#This Row],[星级]]=0,"","""w"&amp;500+表3_3[[#This Row],[皮肤id]]&amp;""","&amp;VLOOKUP(表3_3[[#This Row],[星级]],description!$C$1:$D$13,2,FALSE))&amp;"]"</f>
        <v>["w504",200]</v>
      </c>
      <c r="F4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["04z1","04z2",""]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0.02</v>
      </c>
      <c r="M49" s="5">
        <v>0</v>
      </c>
      <c r="N49" s="5">
        <v>2</v>
      </c>
      <c r="O49" s="5">
        <v>0</v>
      </c>
      <c r="P4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0" spans="1:16" x14ac:dyDescent="0.15">
      <c r="A50" s="5">
        <f t="shared" si="0"/>
        <v>4</v>
      </c>
      <c r="B50" s="5">
        <v>7</v>
      </c>
      <c r="C50" s="5">
        <f>MAX(VLOOKUP(表3_3[[#This Row],[皮肤id]],表1[[id]:[魅力]],15,FALSE),100)*(1+VLOOKUP(表3_3[[#This Row],[星级]],[2]魅力系统!$E$41:$F$53,2,FALSE))</f>
        <v>1800</v>
      </c>
      <c r="D50" s="5">
        <f>表3_3[[#This Row],[星级]]^2*20000+20000*表3_3[[#This Row],[星级]]</f>
        <v>1120000</v>
      </c>
      <c r="E50" s="5" t="str">
        <f>"["&amp;IF(表3_3[[#This Row],[星级]]=0,"","""w"&amp;500+表3_3[[#This Row],[皮肤id]]&amp;""","&amp;VLOOKUP(表3_3[[#This Row],[星级]],description!$C$1:$D$13,2,FALSE))&amp;"]"</f>
        <v>["w504",400]</v>
      </c>
      <c r="F5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["04z1","04z2",""]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0.02</v>
      </c>
      <c r="M50" s="5">
        <v>0</v>
      </c>
      <c r="N50" s="5">
        <v>3</v>
      </c>
      <c r="O50" s="5">
        <v>0</v>
      </c>
      <c r="P5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1" spans="1:16" x14ac:dyDescent="0.15">
      <c r="A51" s="5">
        <f t="shared" si="0"/>
        <v>4</v>
      </c>
      <c r="B51" s="5">
        <v>8</v>
      </c>
      <c r="C51" s="5">
        <f>MAX(VLOOKUP(表3_3[[#This Row],[皮肤id]],表1[[id]:[魅力]],15,FALSE),100)*(1+VLOOKUP(表3_3[[#This Row],[星级]],[2]魅力系统!$E$41:$F$53,2,FALSE))</f>
        <v>2000</v>
      </c>
      <c r="D51" s="5">
        <f>表3_3[[#This Row],[星级]]^2*20000+20000*表3_3[[#This Row],[星级]]</f>
        <v>1440000</v>
      </c>
      <c r="E51" s="5" t="str">
        <f>"["&amp;IF(表3_3[[#This Row],[星级]]=0,"","""w"&amp;500+表3_3[[#This Row],[皮肤id]]&amp;""","&amp;VLOOKUP(表3_3[[#This Row],[星级]],description!$C$1:$D$13,2,FALSE))&amp;"]"</f>
        <v>["w504",700]</v>
      </c>
      <c r="F5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["04z1","04z2","3jie"]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0.02</v>
      </c>
      <c r="M51" s="5">
        <v>0</v>
      </c>
      <c r="N51" s="5">
        <v>3</v>
      </c>
      <c r="O51" s="5">
        <v>0</v>
      </c>
      <c r="P5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2" spans="1:16" x14ac:dyDescent="0.15">
      <c r="A52" s="5">
        <f t="shared" si="0"/>
        <v>4</v>
      </c>
      <c r="B52" s="5">
        <v>9</v>
      </c>
      <c r="C52" s="5">
        <f>MAX(VLOOKUP(表3_3[[#This Row],[皮肤id]],表1[[id]:[魅力]],15,FALSE),100)*(1+VLOOKUP(表3_3[[#This Row],[星级]],[2]魅力系统!$E$41:$F$53,2,FALSE))</f>
        <v>2400</v>
      </c>
      <c r="D52" s="5">
        <f>表3_3[[#This Row],[星级]]^2*20000+20000*表3_3[[#This Row],[星级]]</f>
        <v>1800000</v>
      </c>
      <c r="E52" s="5" t="str">
        <f>"["&amp;IF(表3_3[[#This Row],[星级]]=0,"","""w"&amp;500+表3_3[[#This Row],[皮肤id]]&amp;""","&amp;VLOOKUP(表3_3[[#This Row],[星级]],description!$C$1:$D$13,2,FALSE))&amp;"]"</f>
        <v>["w504",1000]</v>
      </c>
      <c r="F5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["04z1","04z2","3jie"]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0.02</v>
      </c>
      <c r="M52" s="5">
        <v>0</v>
      </c>
      <c r="N52" s="5">
        <v>4</v>
      </c>
      <c r="O52" s="5">
        <v>0</v>
      </c>
      <c r="P5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3" spans="1:16" x14ac:dyDescent="0.15">
      <c r="A53" s="5">
        <f t="shared" si="0"/>
        <v>4</v>
      </c>
      <c r="B53" s="5">
        <v>10</v>
      </c>
      <c r="C53" s="5">
        <f>MAX(VLOOKUP(表3_3[[#This Row],[皮肤id]],表1[[id]:[魅力]],15,FALSE),100)*(1+VLOOKUP(表3_3[[#This Row],[星级]],[2]魅力系统!$E$41:$F$53,2,FALSE))</f>
        <v>2800</v>
      </c>
      <c r="D53" s="5">
        <f>表3_3[[#This Row],[星级]]^2*20000+20000*表3_3[[#This Row],[星级]]</f>
        <v>2200000</v>
      </c>
      <c r="E53" s="5" t="str">
        <f>"["&amp;IF(表3_3[[#This Row],[星级]]=0,"","""w"&amp;500+表3_3[[#This Row],[皮肤id]]&amp;""","&amp;VLOOKUP(表3_3[[#This Row],[星级]],description!$C$1:$D$13,2,FALSE))&amp;"]"</f>
        <v>["w504",1800]</v>
      </c>
      <c r="F5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["04z1","04z2","4jie"]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0.02</v>
      </c>
      <c r="M53" s="5">
        <v>0</v>
      </c>
      <c r="N53" s="5">
        <v>4</v>
      </c>
      <c r="O53" s="5">
        <v>0</v>
      </c>
      <c r="P5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4" spans="1:16" x14ac:dyDescent="0.15">
      <c r="A54" s="5">
        <f t="shared" si="0"/>
        <v>4</v>
      </c>
      <c r="B54" s="5">
        <v>11</v>
      </c>
      <c r="C54" s="5">
        <f>MAX(VLOOKUP(表3_3[[#This Row],[皮肤id]],表1[[id]:[魅力]],15,FALSE),100)*(1+VLOOKUP(表3_3[[#This Row],[星级]],[2]魅力系统!$E$41:$F$53,2,FALSE))</f>
        <v>3200</v>
      </c>
      <c r="D54" s="5">
        <f>表3_3[[#This Row],[星级]]^2*20000+20000*表3_3[[#This Row],[星级]]</f>
        <v>2640000</v>
      </c>
      <c r="E54" s="5" t="str">
        <f>"["&amp;IF(表3_3[[#This Row],[星级]]=0,"","""w"&amp;500+表3_3[[#This Row],[皮肤id]]&amp;""","&amp;VLOOKUP(表3_3[[#This Row],[星级]],description!$C$1:$D$13,2,FALSE))&amp;"]"</f>
        <v>["w504",2600]</v>
      </c>
      <c r="F5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["04z1","04z2","4jie"]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0.02</v>
      </c>
      <c r="M54" s="5">
        <v>0</v>
      </c>
      <c r="N54" s="5">
        <v>5</v>
      </c>
      <c r="O54" s="5">
        <v>0</v>
      </c>
      <c r="P5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5" spans="1:16" x14ac:dyDescent="0.15">
      <c r="A55" s="5">
        <f t="shared" si="0"/>
        <v>4</v>
      </c>
      <c r="B55" s="5">
        <v>12</v>
      </c>
      <c r="C55" s="5">
        <f>MAX(VLOOKUP(表3_3[[#This Row],[皮肤id]],表1[[id]:[魅力]],15,FALSE),100)*(1+VLOOKUP(表3_3[[#This Row],[星级]],[2]魅力系统!$E$41:$F$53,2,FALSE))</f>
        <v>3600</v>
      </c>
      <c r="D55" s="5">
        <f>表3_3[[#This Row],[星级]]^2*20000+20000*表3_3[[#This Row],[星级]]</f>
        <v>3120000</v>
      </c>
      <c r="E55" s="5" t="str">
        <f>"["&amp;IF(表3_3[[#This Row],[星级]]=0,"","""w"&amp;500+表3_3[[#This Row],[皮肤id]]&amp;""","&amp;VLOOKUP(表3_3[[#This Row],[星级]],description!$C$1:$D$13,2,FALSE))&amp;"]"</f>
        <v>["w504",3600]</v>
      </c>
      <c r="F5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["04z1","04z2","4jie"]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0.03</v>
      </c>
      <c r="M55" s="5">
        <v>0</v>
      </c>
      <c r="N55" s="5">
        <v>5</v>
      </c>
      <c r="O55" s="5">
        <v>0</v>
      </c>
      <c r="P5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6" spans="1:16" x14ac:dyDescent="0.15">
      <c r="A56" s="5">
        <f>A43+1</f>
        <v>5</v>
      </c>
      <c r="B56" s="5">
        <v>0</v>
      </c>
      <c r="C56" s="5">
        <f>MAX(VLOOKUP(表3_3[[#This Row],[皮肤id]],表1[[id]:[魅力]],15,FALSE),100)*(1+VLOOKUP(表3_3[[#This Row],[星级]],[2]魅力系统!$E$41:$F$53,2,FALSE))</f>
        <v>150</v>
      </c>
      <c r="D56" s="5">
        <f>表3_3[[#This Row],[星级]]^2*20000+20000*表3_3[[#This Row],[星级]]</f>
        <v>0</v>
      </c>
      <c r="E56" s="5" t="str">
        <f>"["&amp;IF(表3_3[[#This Row],[星级]]=0,"","""w"&amp;500+表3_3[[#This Row],[皮肤id]]&amp;""","&amp;VLOOKUP(表3_3[[#This Row],[星级]],description!$C$1:$D$13,2,FALSE))&amp;"]"</f>
        <v>[]</v>
      </c>
      <c r="F5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7" spans="1:16" x14ac:dyDescent="0.15">
      <c r="A57" s="5">
        <f t="shared" si="0"/>
        <v>5</v>
      </c>
      <c r="B57" s="5">
        <v>1</v>
      </c>
      <c r="C57" s="5">
        <f>MAX(VLOOKUP(表3_3[[#This Row],[皮肤id]],表1[[id]:[魅力]],15,FALSE),100)*(1+VLOOKUP(表3_3[[#This Row],[星级]],[2]魅力系统!$E$41:$F$53,2,FALSE))</f>
        <v>225</v>
      </c>
      <c r="D57" s="5">
        <f>表3_3[[#This Row],[星级]]^2*20000+20000*表3_3[[#This Row],[星级]]</f>
        <v>40000</v>
      </c>
      <c r="E57" s="5" t="str">
        <f>"["&amp;IF(表3_3[[#This Row],[星级]]=0,"","""w"&amp;500+表3_3[[#This Row],[皮肤id]]&amp;""","&amp;VLOOKUP(表3_3[[#This Row],[星级]],description!$C$1:$D$13,2,FALSE))&amp;"]"</f>
        <v>["w505",10]</v>
      </c>
      <c r="F5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1</v>
      </c>
      <c r="O57" s="5">
        <v>0</v>
      </c>
      <c r="P5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8" spans="1:16" x14ac:dyDescent="0.15">
      <c r="A58" s="5">
        <f t="shared" si="0"/>
        <v>5</v>
      </c>
      <c r="B58" s="5">
        <v>2</v>
      </c>
      <c r="C58" s="5">
        <f>MAX(VLOOKUP(表3_3[[#This Row],[皮肤id]],表1[[id]:[魅力]],15,FALSE),100)*(1+VLOOKUP(表3_3[[#This Row],[星级]],[2]魅力系统!$E$41:$F$53,2,FALSE))</f>
        <v>300</v>
      </c>
      <c r="D58" s="5">
        <f>表3_3[[#This Row],[星级]]^2*20000+20000*表3_3[[#This Row],[星级]]</f>
        <v>120000</v>
      </c>
      <c r="E58" s="5" t="str">
        <f>"["&amp;IF(表3_3[[#This Row],[星级]]=0,"","""w"&amp;500+表3_3[[#This Row],[皮肤id]]&amp;""","&amp;VLOOKUP(表3_3[[#This Row],[星级]],description!$C$1:$D$13,2,FALSE))&amp;"]"</f>
        <v>["w505",20]</v>
      </c>
      <c r="F5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["05z1","",""]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1</v>
      </c>
      <c r="O58" s="5">
        <v>0</v>
      </c>
      <c r="P5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59" spans="1:16" x14ac:dyDescent="0.15">
      <c r="A59" s="5">
        <f t="shared" si="0"/>
        <v>5</v>
      </c>
      <c r="B59" s="5">
        <v>3</v>
      </c>
      <c r="C59" s="5">
        <f>MAX(VLOOKUP(表3_3[[#This Row],[皮肤id]],表1[[id]:[魅力]],15,FALSE),100)*(1+VLOOKUP(表3_3[[#This Row],[星级]],[2]魅力系统!$E$41:$F$53,2,FALSE))</f>
        <v>375</v>
      </c>
      <c r="D59" s="5">
        <f>表3_3[[#This Row],[星级]]^2*20000+20000*表3_3[[#This Row],[星级]]</f>
        <v>240000</v>
      </c>
      <c r="E59" s="5" t="str">
        <f>"["&amp;IF(表3_3[[#This Row],[星级]]=0,"","""w"&amp;500+表3_3[[#This Row],[皮肤id]]&amp;""","&amp;VLOOKUP(表3_3[[#This Row],[星级]],description!$C$1:$D$13,2,FALSE))&amp;"]"</f>
        <v>["w505",40]</v>
      </c>
      <c r="F5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["05z1","",""]</v>
      </c>
      <c r="G59" s="5">
        <v>0</v>
      </c>
      <c r="H59" s="5">
        <v>0</v>
      </c>
      <c r="I59" s="5">
        <v>0</v>
      </c>
      <c r="J59" s="5">
        <v>0.01</v>
      </c>
      <c r="K59" s="5">
        <v>0</v>
      </c>
      <c r="L59" s="5">
        <v>0</v>
      </c>
      <c r="M59" s="5">
        <v>0</v>
      </c>
      <c r="N59" s="5">
        <v>1</v>
      </c>
      <c r="O59" s="5">
        <v>0</v>
      </c>
      <c r="P5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0" spans="1:16" x14ac:dyDescent="0.15">
      <c r="A60" s="5">
        <f t="shared" si="0"/>
        <v>5</v>
      </c>
      <c r="B60" s="5">
        <v>4</v>
      </c>
      <c r="C60" s="5">
        <f>MAX(VLOOKUP(表3_3[[#This Row],[皮肤id]],表1[[id]:[魅力]],15,FALSE),100)*(1+VLOOKUP(表3_3[[#This Row],[星级]],[2]魅力系统!$E$41:$F$53,2,FALSE))</f>
        <v>450</v>
      </c>
      <c r="D60" s="5">
        <f>表3_3[[#This Row],[星级]]^2*20000+20000*表3_3[[#This Row],[星级]]</f>
        <v>400000</v>
      </c>
      <c r="E60" s="5" t="str">
        <f>"["&amp;IF(表3_3[[#This Row],[星级]]=0,"","""w"&amp;500+表3_3[[#This Row],[皮肤id]]&amp;""","&amp;VLOOKUP(表3_3[[#This Row],[星级]],description!$C$1:$D$13,2,FALSE))&amp;"]"</f>
        <v>["w505",60]</v>
      </c>
      <c r="F6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["05z1","",""]</v>
      </c>
      <c r="G60" s="5">
        <v>0</v>
      </c>
      <c r="H60" s="5">
        <v>0</v>
      </c>
      <c r="I60" s="5">
        <v>0</v>
      </c>
      <c r="J60" s="5">
        <v>0.01</v>
      </c>
      <c r="K60" s="5">
        <v>0</v>
      </c>
      <c r="L60" s="5">
        <v>0</v>
      </c>
      <c r="M60" s="5">
        <v>0</v>
      </c>
      <c r="N60" s="5">
        <v>2</v>
      </c>
      <c r="O60" s="5">
        <v>0</v>
      </c>
      <c r="P6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1" spans="1:16" x14ac:dyDescent="0.15">
      <c r="A61" s="5">
        <f t="shared" si="0"/>
        <v>5</v>
      </c>
      <c r="B61" s="5">
        <v>5</v>
      </c>
      <c r="C61" s="5">
        <f>MAX(VLOOKUP(表3_3[[#This Row],[皮肤id]],表1[[id]:[魅力]],15,FALSE),100)*(1+VLOOKUP(表3_3[[#This Row],[星级]],[2]魅力系统!$E$41:$F$53,2,FALSE))</f>
        <v>525</v>
      </c>
      <c r="D61" s="5">
        <f>表3_3[[#This Row],[星级]]^2*20000+20000*表3_3[[#This Row],[星级]]</f>
        <v>600000</v>
      </c>
      <c r="E61" s="5" t="str">
        <f>"["&amp;IF(表3_3[[#This Row],[星级]]=0,"","""w"&amp;500+表3_3[[#This Row],[皮肤id]]&amp;""","&amp;VLOOKUP(表3_3[[#This Row],[星级]],description!$C$1:$D$13,2,FALSE))&amp;"]"</f>
        <v>["w505",100]</v>
      </c>
      <c r="F6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["05z1","05z2",""]</v>
      </c>
      <c r="G61" s="5">
        <v>0</v>
      </c>
      <c r="H61" s="5">
        <v>0</v>
      </c>
      <c r="I61" s="5">
        <v>0</v>
      </c>
      <c r="J61" s="5">
        <v>0.01</v>
      </c>
      <c r="K61" s="5">
        <v>0</v>
      </c>
      <c r="L61" s="5">
        <v>0</v>
      </c>
      <c r="M61" s="5">
        <v>0</v>
      </c>
      <c r="N61" s="5">
        <v>2</v>
      </c>
      <c r="O61" s="5">
        <v>0</v>
      </c>
      <c r="P6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2" spans="1:16" x14ac:dyDescent="0.15">
      <c r="A62" s="5">
        <f t="shared" si="0"/>
        <v>5</v>
      </c>
      <c r="B62" s="5">
        <v>6</v>
      </c>
      <c r="C62" s="5">
        <f>MAX(VLOOKUP(表3_3[[#This Row],[皮肤id]],表1[[id]:[魅力]],15,FALSE),100)*(1+VLOOKUP(表3_3[[#This Row],[星级]],[2]魅力系统!$E$41:$F$53,2,FALSE))</f>
        <v>600</v>
      </c>
      <c r="D62" s="5">
        <f>表3_3[[#This Row],[星级]]^2*20000+20000*表3_3[[#This Row],[星级]]</f>
        <v>840000</v>
      </c>
      <c r="E62" s="5" t="str">
        <f>"["&amp;IF(表3_3[[#This Row],[星级]]=0,"","""w"&amp;500+表3_3[[#This Row],[皮肤id]]&amp;""","&amp;VLOOKUP(表3_3[[#This Row],[星级]],description!$C$1:$D$13,2,FALSE))&amp;"]"</f>
        <v>["w505",200]</v>
      </c>
      <c r="F6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["05z1","05z2",""]</v>
      </c>
      <c r="G62" s="5">
        <v>0</v>
      </c>
      <c r="H62" s="5">
        <v>0</v>
      </c>
      <c r="I62" s="5">
        <v>0</v>
      </c>
      <c r="J62" s="5">
        <v>0.02</v>
      </c>
      <c r="K62" s="5">
        <v>0</v>
      </c>
      <c r="L62" s="5">
        <v>0</v>
      </c>
      <c r="M62" s="5">
        <v>0</v>
      </c>
      <c r="N62" s="5">
        <v>2</v>
      </c>
      <c r="O62" s="5">
        <v>0</v>
      </c>
      <c r="P6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3" spans="1:16" x14ac:dyDescent="0.15">
      <c r="A63" s="5">
        <f t="shared" si="0"/>
        <v>5</v>
      </c>
      <c r="B63" s="5">
        <v>7</v>
      </c>
      <c r="C63" s="5">
        <f>MAX(VLOOKUP(表3_3[[#This Row],[皮肤id]],表1[[id]:[魅力]],15,FALSE),100)*(1+VLOOKUP(表3_3[[#This Row],[星级]],[2]魅力系统!$E$41:$F$53,2,FALSE))</f>
        <v>675</v>
      </c>
      <c r="D63" s="5">
        <f>表3_3[[#This Row],[星级]]^2*20000+20000*表3_3[[#This Row],[星级]]</f>
        <v>1120000</v>
      </c>
      <c r="E63" s="5" t="str">
        <f>"["&amp;IF(表3_3[[#This Row],[星级]]=0,"","""w"&amp;500+表3_3[[#This Row],[皮肤id]]&amp;""","&amp;VLOOKUP(表3_3[[#This Row],[星级]],description!$C$1:$D$13,2,FALSE))&amp;"]"</f>
        <v>["w505",400]</v>
      </c>
      <c r="F6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["05z1","05z2",""]</v>
      </c>
      <c r="G63" s="5">
        <v>0</v>
      </c>
      <c r="H63" s="5">
        <v>0</v>
      </c>
      <c r="I63" s="5">
        <v>0</v>
      </c>
      <c r="J63" s="5">
        <v>0.02</v>
      </c>
      <c r="K63" s="5">
        <v>0</v>
      </c>
      <c r="L63" s="5">
        <v>0</v>
      </c>
      <c r="M63" s="5">
        <v>0</v>
      </c>
      <c r="N63" s="5">
        <v>3</v>
      </c>
      <c r="O63" s="5">
        <v>0</v>
      </c>
      <c r="P6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4" spans="1:16" x14ac:dyDescent="0.15">
      <c r="A64" s="5">
        <f t="shared" si="0"/>
        <v>5</v>
      </c>
      <c r="B64" s="5">
        <v>8</v>
      </c>
      <c r="C64" s="5">
        <f>MAX(VLOOKUP(表3_3[[#This Row],[皮肤id]],表1[[id]:[魅力]],15,FALSE),100)*(1+VLOOKUP(表3_3[[#This Row],[星级]],[2]魅力系统!$E$41:$F$53,2,FALSE))</f>
        <v>750</v>
      </c>
      <c r="D64" s="5">
        <f>表3_3[[#This Row],[星级]]^2*20000+20000*表3_3[[#This Row],[星级]]</f>
        <v>1440000</v>
      </c>
      <c r="E64" s="5" t="str">
        <f>"["&amp;IF(表3_3[[#This Row],[星级]]=0,"","""w"&amp;500+表3_3[[#This Row],[皮肤id]]&amp;""","&amp;VLOOKUP(表3_3[[#This Row],[星级]],description!$C$1:$D$13,2,FALSE))&amp;"]"</f>
        <v>["w505",700]</v>
      </c>
      <c r="F6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["05z1","05z2","3jie"]</v>
      </c>
      <c r="G64" s="5">
        <v>0</v>
      </c>
      <c r="H64" s="5">
        <v>0</v>
      </c>
      <c r="I64" s="5">
        <v>0</v>
      </c>
      <c r="J64" s="5">
        <v>0.02</v>
      </c>
      <c r="K64" s="5">
        <v>0</v>
      </c>
      <c r="L64" s="5">
        <v>0</v>
      </c>
      <c r="M64" s="5">
        <v>0</v>
      </c>
      <c r="N64" s="5">
        <v>3</v>
      </c>
      <c r="O64" s="5">
        <v>0</v>
      </c>
      <c r="P6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5" spans="1:16" x14ac:dyDescent="0.15">
      <c r="A65" s="5">
        <f t="shared" si="0"/>
        <v>5</v>
      </c>
      <c r="B65" s="5">
        <v>9</v>
      </c>
      <c r="C65" s="5">
        <f>MAX(VLOOKUP(表3_3[[#This Row],[皮肤id]],表1[[id]:[魅力]],15,FALSE),100)*(1+VLOOKUP(表3_3[[#This Row],[星级]],[2]魅力系统!$E$41:$F$53,2,FALSE))</f>
        <v>900</v>
      </c>
      <c r="D65" s="5">
        <f>表3_3[[#This Row],[星级]]^2*20000+20000*表3_3[[#This Row],[星级]]</f>
        <v>1800000</v>
      </c>
      <c r="E65" s="5" t="str">
        <f>"["&amp;IF(表3_3[[#This Row],[星级]]=0,"","""w"&amp;500+表3_3[[#This Row],[皮肤id]]&amp;""","&amp;VLOOKUP(表3_3[[#This Row],[星级]],description!$C$1:$D$13,2,FALSE))&amp;"]"</f>
        <v>["w505",1000]</v>
      </c>
      <c r="F6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["05z1","05z2","3jie"]</v>
      </c>
      <c r="G65" s="5">
        <v>0</v>
      </c>
      <c r="H65" s="5">
        <v>0</v>
      </c>
      <c r="I65" s="5">
        <v>0</v>
      </c>
      <c r="J65" s="5">
        <v>0.02</v>
      </c>
      <c r="K65" s="5">
        <v>0</v>
      </c>
      <c r="L65" s="5">
        <v>0</v>
      </c>
      <c r="M65" s="5">
        <v>0</v>
      </c>
      <c r="N65" s="5">
        <v>4</v>
      </c>
      <c r="O65" s="5">
        <v>0</v>
      </c>
      <c r="P6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6" spans="1:16" x14ac:dyDescent="0.15">
      <c r="A66" s="5">
        <f t="shared" si="0"/>
        <v>5</v>
      </c>
      <c r="B66" s="5">
        <v>10</v>
      </c>
      <c r="C66" s="5">
        <f>MAX(VLOOKUP(表3_3[[#This Row],[皮肤id]],表1[[id]:[魅力]],15,FALSE),100)*(1+VLOOKUP(表3_3[[#This Row],[星级]],[2]魅力系统!$E$41:$F$53,2,FALSE))</f>
        <v>1050</v>
      </c>
      <c r="D66" s="5">
        <f>表3_3[[#This Row],[星级]]^2*20000+20000*表3_3[[#This Row],[星级]]</f>
        <v>2200000</v>
      </c>
      <c r="E66" s="5" t="str">
        <f>"["&amp;IF(表3_3[[#This Row],[星级]]=0,"","""w"&amp;500+表3_3[[#This Row],[皮肤id]]&amp;""","&amp;VLOOKUP(表3_3[[#This Row],[星级]],description!$C$1:$D$13,2,FALSE))&amp;"]"</f>
        <v>["w505",1800]</v>
      </c>
      <c r="F6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["05z1","05z2","4jie"]</v>
      </c>
      <c r="G66" s="5">
        <v>0</v>
      </c>
      <c r="H66" s="5">
        <v>0</v>
      </c>
      <c r="I66" s="5">
        <v>0</v>
      </c>
      <c r="J66" s="5">
        <v>0.02</v>
      </c>
      <c r="K66" s="5">
        <v>0</v>
      </c>
      <c r="L66" s="5">
        <v>0</v>
      </c>
      <c r="M66" s="5">
        <v>0</v>
      </c>
      <c r="N66" s="5">
        <v>4</v>
      </c>
      <c r="O66" s="5">
        <v>0</v>
      </c>
      <c r="P6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67" spans="1:16" x14ac:dyDescent="0.15">
      <c r="A67" s="5">
        <f t="shared" si="0"/>
        <v>5</v>
      </c>
      <c r="B67" s="5">
        <v>11</v>
      </c>
      <c r="C67" s="5">
        <f>MAX(VLOOKUP(表3_3[[#This Row],[皮肤id]],表1[[id]:[魅力]],15,FALSE),100)*(1+VLOOKUP(表3_3[[#This Row],[星级]],[2]魅力系统!$E$41:$F$53,2,FALSE))</f>
        <v>1200</v>
      </c>
      <c r="D67" s="5">
        <f>表3_3[[#This Row],[星级]]^2*20000+20000*表3_3[[#This Row],[星级]]</f>
        <v>2640000</v>
      </c>
      <c r="E67" s="5" t="str">
        <f>"["&amp;IF(表3_3[[#This Row],[星级]]=0,"","""w"&amp;500+表3_3[[#This Row],[皮肤id]]&amp;""","&amp;VLOOKUP(表3_3[[#This Row],[星级]],description!$C$1:$D$13,2,FALSE))&amp;"]"</f>
        <v>["w505",2600]</v>
      </c>
      <c r="F6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["05z1","05z2","4jie"]</v>
      </c>
      <c r="G67" s="5">
        <v>0</v>
      </c>
      <c r="H67" s="5">
        <v>0</v>
      </c>
      <c r="I67" s="5">
        <v>0</v>
      </c>
      <c r="J67" s="5">
        <v>0.02</v>
      </c>
      <c r="K67" s="5">
        <v>0</v>
      </c>
      <c r="L67" s="5">
        <v>0</v>
      </c>
      <c r="M67" s="5">
        <v>0</v>
      </c>
      <c r="N67" s="5">
        <v>5</v>
      </c>
      <c r="O67" s="5">
        <v>0</v>
      </c>
      <c r="P6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68" spans="1:16" x14ac:dyDescent="0.15">
      <c r="A68" s="5">
        <f t="shared" si="0"/>
        <v>5</v>
      </c>
      <c r="B68" s="5">
        <v>12</v>
      </c>
      <c r="C68" s="5">
        <f>MAX(VLOOKUP(表3_3[[#This Row],[皮肤id]],表1[[id]:[魅力]],15,FALSE),100)*(1+VLOOKUP(表3_3[[#This Row],[星级]],[2]魅力系统!$E$41:$F$53,2,FALSE))</f>
        <v>1350</v>
      </c>
      <c r="D68" s="5">
        <f>表3_3[[#This Row],[星级]]^2*20000+20000*表3_3[[#This Row],[星级]]</f>
        <v>3120000</v>
      </c>
      <c r="E68" s="5" t="str">
        <f>"["&amp;IF(表3_3[[#This Row],[星级]]=0,"","""w"&amp;500+表3_3[[#This Row],[皮肤id]]&amp;""","&amp;VLOOKUP(表3_3[[#This Row],[星级]],description!$C$1:$D$13,2,FALSE))&amp;"]"</f>
        <v>["w505",3600]</v>
      </c>
      <c r="F6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["05z1","05z2","4jie"]</v>
      </c>
      <c r="G68" s="5">
        <v>0</v>
      </c>
      <c r="H68" s="5">
        <v>0</v>
      </c>
      <c r="I68" s="5">
        <v>0</v>
      </c>
      <c r="J68" s="5">
        <v>0.03</v>
      </c>
      <c r="K68" s="5">
        <v>0</v>
      </c>
      <c r="L68" s="5">
        <v>0</v>
      </c>
      <c r="M68" s="5">
        <v>0</v>
      </c>
      <c r="N68" s="5">
        <v>5</v>
      </c>
      <c r="O68" s="5">
        <v>0</v>
      </c>
      <c r="P6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69" spans="1:16" x14ac:dyDescent="0.15">
      <c r="A69" s="5">
        <f>A56+1</f>
        <v>6</v>
      </c>
      <c r="B69" s="5">
        <v>0</v>
      </c>
      <c r="C69" s="5">
        <f>MAX(VLOOKUP(表3_3[[#This Row],[皮肤id]],表1[[id]:[魅力]],15,FALSE),100)*(1+VLOOKUP(表3_3[[#This Row],[星级]],[2]魅力系统!$E$41:$F$53,2,FALSE))</f>
        <v>1050</v>
      </c>
      <c r="D69" s="5">
        <f>表3_3[[#This Row],[星级]]^2*20000+20000*表3_3[[#This Row],[星级]]</f>
        <v>0</v>
      </c>
      <c r="E69" s="5" t="str">
        <f>"["&amp;IF(表3_3[[#This Row],[星级]]=0,"","""w"&amp;500+表3_3[[#This Row],[皮肤id]]&amp;""","&amp;VLOOKUP(表3_3[[#This Row],[星级]],description!$C$1:$D$13,2,FALSE))&amp;"]"</f>
        <v>[]</v>
      </c>
      <c r="F6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0" spans="1:16" x14ac:dyDescent="0.15">
      <c r="A70" s="5">
        <f t="shared" si="0"/>
        <v>6</v>
      </c>
      <c r="B70" s="5">
        <v>1</v>
      </c>
      <c r="C70" s="5">
        <f>MAX(VLOOKUP(表3_3[[#This Row],[皮肤id]],表1[[id]:[魅力]],15,FALSE),100)*(1+VLOOKUP(表3_3[[#This Row],[星级]],[2]魅力系统!$E$41:$F$53,2,FALSE))</f>
        <v>1575</v>
      </c>
      <c r="D70" s="5">
        <f>表3_3[[#This Row],[星级]]^2*20000+20000*表3_3[[#This Row],[星级]]</f>
        <v>40000</v>
      </c>
      <c r="E70" s="5" t="str">
        <f>"["&amp;IF(表3_3[[#This Row],[星级]]=0,"","""w"&amp;500+表3_3[[#This Row],[皮肤id]]&amp;""","&amp;VLOOKUP(表3_3[[#This Row],[星级]],description!$C$1:$D$13,2,FALSE))&amp;"]"</f>
        <v>["w506",10]</v>
      </c>
      <c r="F7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1" spans="1:16" x14ac:dyDescent="0.15">
      <c r="A71" s="5">
        <f t="shared" si="0"/>
        <v>6</v>
      </c>
      <c r="B71" s="5">
        <v>2</v>
      </c>
      <c r="C71" s="5">
        <f>MAX(VLOOKUP(表3_3[[#This Row],[皮肤id]],表1[[id]:[魅力]],15,FALSE),100)*(1+VLOOKUP(表3_3[[#This Row],[星级]],[2]魅力系统!$E$41:$F$53,2,FALSE))</f>
        <v>2100</v>
      </c>
      <c r="D71" s="5">
        <f>表3_3[[#This Row],[星级]]^2*20000+20000*表3_3[[#This Row],[星级]]</f>
        <v>120000</v>
      </c>
      <c r="E71" s="5" t="str">
        <f>"["&amp;IF(表3_3[[#This Row],[星级]]=0,"","""w"&amp;500+表3_3[[#This Row],[皮肤id]]&amp;""","&amp;VLOOKUP(表3_3[[#This Row],[星级]],description!$C$1:$D$13,2,FALSE))&amp;"]"</f>
        <v>["w506",20]</v>
      </c>
      <c r="F7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["06z1","",""]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2" spans="1:16" x14ac:dyDescent="0.15">
      <c r="A72" s="5">
        <f t="shared" si="0"/>
        <v>6</v>
      </c>
      <c r="B72" s="5">
        <v>3</v>
      </c>
      <c r="C72" s="5">
        <f>MAX(VLOOKUP(表3_3[[#This Row],[皮肤id]],表1[[id]:[魅力]],15,FALSE),100)*(1+VLOOKUP(表3_3[[#This Row],[星级]],[2]魅力系统!$E$41:$F$53,2,FALSE))</f>
        <v>2625</v>
      </c>
      <c r="D72" s="5">
        <f>表3_3[[#This Row],[星级]]^2*20000+20000*表3_3[[#This Row],[星级]]</f>
        <v>240000</v>
      </c>
      <c r="E72" s="5" t="str">
        <f>"["&amp;IF(表3_3[[#This Row],[星级]]=0,"","""w"&amp;500+表3_3[[#This Row],[皮肤id]]&amp;""","&amp;VLOOKUP(表3_3[[#This Row],[星级]],description!$C$1:$D$13,2,FALSE))&amp;"]"</f>
        <v>["w506",40]</v>
      </c>
      <c r="F7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["06z1","",""]</v>
      </c>
      <c r="G72" s="5">
        <v>0</v>
      </c>
      <c r="H72" s="5">
        <v>0</v>
      </c>
      <c r="I72" s="5">
        <v>1</v>
      </c>
      <c r="J72" s="5">
        <v>0</v>
      </c>
      <c r="K72" s="5">
        <v>0.01</v>
      </c>
      <c r="L72" s="5">
        <v>0</v>
      </c>
      <c r="M72" s="5">
        <v>0</v>
      </c>
      <c r="N72" s="5">
        <v>0</v>
      </c>
      <c r="O72" s="5">
        <v>0</v>
      </c>
      <c r="P7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3" spans="1:16" x14ac:dyDescent="0.15">
      <c r="A73" s="5">
        <f t="shared" si="0"/>
        <v>6</v>
      </c>
      <c r="B73" s="5">
        <v>4</v>
      </c>
      <c r="C73" s="5">
        <f>MAX(VLOOKUP(表3_3[[#This Row],[皮肤id]],表1[[id]:[魅力]],15,FALSE),100)*(1+VLOOKUP(表3_3[[#This Row],[星级]],[2]魅力系统!$E$41:$F$53,2,FALSE))</f>
        <v>3150</v>
      </c>
      <c r="D73" s="5">
        <f>表3_3[[#This Row],[星级]]^2*20000+20000*表3_3[[#This Row],[星级]]</f>
        <v>400000</v>
      </c>
      <c r="E73" s="5" t="str">
        <f>"["&amp;IF(表3_3[[#This Row],[星级]]=0,"","""w"&amp;500+表3_3[[#This Row],[皮肤id]]&amp;""","&amp;VLOOKUP(表3_3[[#This Row],[星级]],description!$C$1:$D$13,2,FALSE))&amp;"]"</f>
        <v>["w506",60]</v>
      </c>
      <c r="F7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["06z1","",""]</v>
      </c>
      <c r="G73" s="5">
        <v>0</v>
      </c>
      <c r="H73" s="5">
        <v>0</v>
      </c>
      <c r="I73" s="5">
        <v>2</v>
      </c>
      <c r="J73" s="5">
        <v>0</v>
      </c>
      <c r="K73" s="5">
        <v>0.01</v>
      </c>
      <c r="L73" s="5">
        <v>0</v>
      </c>
      <c r="M73" s="5">
        <v>0</v>
      </c>
      <c r="N73" s="5">
        <v>0</v>
      </c>
      <c r="O73" s="5">
        <v>0</v>
      </c>
      <c r="P7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4" spans="1:16" x14ac:dyDescent="0.15">
      <c r="A74" s="5">
        <f t="shared" si="0"/>
        <v>6</v>
      </c>
      <c r="B74" s="5">
        <v>5</v>
      </c>
      <c r="C74" s="5">
        <f>MAX(VLOOKUP(表3_3[[#This Row],[皮肤id]],表1[[id]:[魅力]],15,FALSE),100)*(1+VLOOKUP(表3_3[[#This Row],[星级]],[2]魅力系统!$E$41:$F$53,2,FALSE))</f>
        <v>3675</v>
      </c>
      <c r="D74" s="5">
        <f>表3_3[[#This Row],[星级]]^2*20000+20000*表3_3[[#This Row],[星级]]</f>
        <v>600000</v>
      </c>
      <c r="E74" s="5" t="str">
        <f>"["&amp;IF(表3_3[[#This Row],[星级]]=0,"","""w"&amp;500+表3_3[[#This Row],[皮肤id]]&amp;""","&amp;VLOOKUP(表3_3[[#This Row],[星级]],description!$C$1:$D$13,2,FALSE))&amp;"]"</f>
        <v>["w506",100]</v>
      </c>
      <c r="F7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["06z1","06z2",""]</v>
      </c>
      <c r="G74" s="5">
        <v>0</v>
      </c>
      <c r="H74" s="5">
        <v>0</v>
      </c>
      <c r="I74" s="5">
        <v>2</v>
      </c>
      <c r="J74" s="5">
        <v>0</v>
      </c>
      <c r="K74" s="5">
        <v>0.01</v>
      </c>
      <c r="L74" s="5">
        <v>0</v>
      </c>
      <c r="M74" s="5">
        <v>0</v>
      </c>
      <c r="N74" s="5">
        <v>0</v>
      </c>
      <c r="O74" s="5">
        <v>0</v>
      </c>
      <c r="P7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5" spans="1:16" x14ac:dyDescent="0.15">
      <c r="A75" s="5">
        <f t="shared" si="0"/>
        <v>6</v>
      </c>
      <c r="B75" s="5">
        <v>6</v>
      </c>
      <c r="C75" s="5">
        <f>MAX(VLOOKUP(表3_3[[#This Row],[皮肤id]],表1[[id]:[魅力]],15,FALSE),100)*(1+VLOOKUP(表3_3[[#This Row],[星级]],[2]魅力系统!$E$41:$F$53,2,FALSE))</f>
        <v>4200</v>
      </c>
      <c r="D75" s="5">
        <f>表3_3[[#This Row],[星级]]^2*20000+20000*表3_3[[#This Row],[星级]]</f>
        <v>840000</v>
      </c>
      <c r="E75" s="5" t="str">
        <f>"["&amp;IF(表3_3[[#This Row],[星级]]=0,"","""w"&amp;500+表3_3[[#This Row],[皮肤id]]&amp;""","&amp;VLOOKUP(表3_3[[#This Row],[星级]],description!$C$1:$D$13,2,FALSE))&amp;"]"</f>
        <v>["w506",200]</v>
      </c>
      <c r="F7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["06z1","06z2",""]</v>
      </c>
      <c r="G75" s="5">
        <v>0</v>
      </c>
      <c r="H75" s="5">
        <v>0</v>
      </c>
      <c r="I75" s="5">
        <v>2</v>
      </c>
      <c r="J75" s="5">
        <v>0</v>
      </c>
      <c r="K75" s="5">
        <v>0.02</v>
      </c>
      <c r="L75" s="5">
        <v>0</v>
      </c>
      <c r="M75" s="5">
        <v>0</v>
      </c>
      <c r="N75" s="5">
        <v>0</v>
      </c>
      <c r="O75" s="5">
        <v>0</v>
      </c>
      <c r="P7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6" spans="1:16" x14ac:dyDescent="0.15">
      <c r="A76" s="5">
        <f t="shared" si="0"/>
        <v>6</v>
      </c>
      <c r="B76" s="5">
        <v>7</v>
      </c>
      <c r="C76" s="5">
        <f>MAX(VLOOKUP(表3_3[[#This Row],[皮肤id]],表1[[id]:[魅力]],15,FALSE),100)*(1+VLOOKUP(表3_3[[#This Row],[星级]],[2]魅力系统!$E$41:$F$53,2,FALSE))</f>
        <v>4725</v>
      </c>
      <c r="D76" s="5">
        <f>表3_3[[#This Row],[星级]]^2*20000+20000*表3_3[[#This Row],[星级]]</f>
        <v>1120000</v>
      </c>
      <c r="E76" s="5" t="str">
        <f>"["&amp;IF(表3_3[[#This Row],[星级]]=0,"","""w"&amp;500+表3_3[[#This Row],[皮肤id]]&amp;""","&amp;VLOOKUP(表3_3[[#This Row],[星级]],description!$C$1:$D$13,2,FALSE))&amp;"]"</f>
        <v>["w506",400]</v>
      </c>
      <c r="F7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["06z1","06z2",""]</v>
      </c>
      <c r="G76" s="5">
        <v>0</v>
      </c>
      <c r="H76" s="5">
        <v>0</v>
      </c>
      <c r="I76" s="5">
        <v>3</v>
      </c>
      <c r="J76" s="5">
        <v>0</v>
      </c>
      <c r="K76" s="5">
        <v>0.02</v>
      </c>
      <c r="L76" s="5">
        <v>0</v>
      </c>
      <c r="M76" s="5">
        <v>0</v>
      </c>
      <c r="N76" s="5">
        <v>0</v>
      </c>
      <c r="O76" s="5">
        <v>0</v>
      </c>
      <c r="P7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7" spans="1:16" x14ac:dyDescent="0.15">
      <c r="A77" s="5">
        <f t="shared" si="0"/>
        <v>6</v>
      </c>
      <c r="B77" s="5">
        <v>8</v>
      </c>
      <c r="C77" s="5">
        <f>MAX(VLOOKUP(表3_3[[#This Row],[皮肤id]],表1[[id]:[魅力]],15,FALSE),100)*(1+VLOOKUP(表3_3[[#This Row],[星级]],[2]魅力系统!$E$41:$F$53,2,FALSE))</f>
        <v>5250</v>
      </c>
      <c r="D77" s="5">
        <f>表3_3[[#This Row],[星级]]^2*20000+20000*表3_3[[#This Row],[星级]]</f>
        <v>1440000</v>
      </c>
      <c r="E77" s="5" t="str">
        <f>"["&amp;IF(表3_3[[#This Row],[星级]]=0,"","""w"&amp;500+表3_3[[#This Row],[皮肤id]]&amp;""","&amp;VLOOKUP(表3_3[[#This Row],[星级]],description!$C$1:$D$13,2,FALSE))&amp;"]"</f>
        <v>["w506",700]</v>
      </c>
      <c r="F7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["06z1","06z2","3jie"]</v>
      </c>
      <c r="G77" s="5">
        <v>0</v>
      </c>
      <c r="H77" s="5">
        <v>0</v>
      </c>
      <c r="I77" s="5">
        <v>3</v>
      </c>
      <c r="J77" s="5">
        <v>0</v>
      </c>
      <c r="K77" s="5">
        <v>0.02</v>
      </c>
      <c r="L77" s="5">
        <v>0</v>
      </c>
      <c r="M77" s="5">
        <v>0</v>
      </c>
      <c r="N77" s="5">
        <v>0</v>
      </c>
      <c r="O77" s="5">
        <v>0</v>
      </c>
      <c r="P7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78" spans="1:16" x14ac:dyDescent="0.15">
      <c r="A78" s="5">
        <f t="shared" si="0"/>
        <v>6</v>
      </c>
      <c r="B78" s="5">
        <v>9</v>
      </c>
      <c r="C78" s="5">
        <f>MAX(VLOOKUP(表3_3[[#This Row],[皮肤id]],表1[[id]:[魅力]],15,FALSE),100)*(1+VLOOKUP(表3_3[[#This Row],[星级]],[2]魅力系统!$E$41:$F$53,2,FALSE))</f>
        <v>6300</v>
      </c>
      <c r="D78" s="5">
        <f>表3_3[[#This Row],[星级]]^2*20000+20000*表3_3[[#This Row],[星级]]</f>
        <v>1800000</v>
      </c>
      <c r="E78" s="5" t="str">
        <f>"["&amp;IF(表3_3[[#This Row],[星级]]=0,"","""w"&amp;500+表3_3[[#This Row],[皮肤id]]&amp;""","&amp;VLOOKUP(表3_3[[#This Row],[星级]],description!$C$1:$D$13,2,FALSE))&amp;"]"</f>
        <v>["w506",1000]</v>
      </c>
      <c r="F7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["06z1","06z2","3jie"]</v>
      </c>
      <c r="G78" s="5">
        <v>0</v>
      </c>
      <c r="H78" s="5">
        <v>0</v>
      </c>
      <c r="I78" s="5">
        <v>4</v>
      </c>
      <c r="J78" s="5">
        <v>0</v>
      </c>
      <c r="K78" s="5">
        <v>0.02</v>
      </c>
      <c r="L78" s="5">
        <v>0</v>
      </c>
      <c r="M78" s="5">
        <v>0</v>
      </c>
      <c r="N78" s="5">
        <v>0</v>
      </c>
      <c r="O78" s="5">
        <v>0</v>
      </c>
      <c r="P7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79" spans="1:16" x14ac:dyDescent="0.15">
      <c r="A79" s="5">
        <f t="shared" si="0"/>
        <v>6</v>
      </c>
      <c r="B79" s="5">
        <v>10</v>
      </c>
      <c r="C79" s="5">
        <f>MAX(VLOOKUP(表3_3[[#This Row],[皮肤id]],表1[[id]:[魅力]],15,FALSE),100)*(1+VLOOKUP(表3_3[[#This Row],[星级]],[2]魅力系统!$E$41:$F$53,2,FALSE))</f>
        <v>7350</v>
      </c>
      <c r="D79" s="5">
        <f>表3_3[[#This Row],[星级]]^2*20000+20000*表3_3[[#This Row],[星级]]</f>
        <v>2200000</v>
      </c>
      <c r="E79" s="5" t="str">
        <f>"["&amp;IF(表3_3[[#This Row],[星级]]=0,"","""w"&amp;500+表3_3[[#This Row],[皮肤id]]&amp;""","&amp;VLOOKUP(表3_3[[#This Row],[星级]],description!$C$1:$D$13,2,FALSE))&amp;"]"</f>
        <v>["w506",1800]</v>
      </c>
      <c r="F7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["06z1","06z2","4jie"]</v>
      </c>
      <c r="G79" s="5">
        <v>0</v>
      </c>
      <c r="H79" s="5">
        <v>0</v>
      </c>
      <c r="I79" s="5">
        <v>4</v>
      </c>
      <c r="J79" s="5">
        <v>0</v>
      </c>
      <c r="K79" s="5">
        <v>0.02</v>
      </c>
      <c r="L79" s="5">
        <v>0</v>
      </c>
      <c r="M79" s="5">
        <v>0</v>
      </c>
      <c r="N79" s="5">
        <v>0</v>
      </c>
      <c r="O79" s="5">
        <v>0</v>
      </c>
      <c r="P7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0" spans="1:16" x14ac:dyDescent="0.15">
      <c r="A80" s="5">
        <f t="shared" si="0"/>
        <v>6</v>
      </c>
      <c r="B80" s="5">
        <v>11</v>
      </c>
      <c r="C80" s="5">
        <f>MAX(VLOOKUP(表3_3[[#This Row],[皮肤id]],表1[[id]:[魅力]],15,FALSE),100)*(1+VLOOKUP(表3_3[[#This Row],[星级]],[2]魅力系统!$E$41:$F$53,2,FALSE))</f>
        <v>8400</v>
      </c>
      <c r="D80" s="5">
        <f>表3_3[[#This Row],[星级]]^2*20000+20000*表3_3[[#This Row],[星级]]</f>
        <v>2640000</v>
      </c>
      <c r="E80" s="5" t="str">
        <f>"["&amp;IF(表3_3[[#This Row],[星级]]=0,"","""w"&amp;500+表3_3[[#This Row],[皮肤id]]&amp;""","&amp;VLOOKUP(表3_3[[#This Row],[星级]],description!$C$1:$D$13,2,FALSE))&amp;"]"</f>
        <v>["w506",2600]</v>
      </c>
      <c r="F8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["06z1","06z2","4jie"]</v>
      </c>
      <c r="G80" s="5">
        <v>0</v>
      </c>
      <c r="H80" s="5">
        <v>0</v>
      </c>
      <c r="I80" s="5">
        <v>5</v>
      </c>
      <c r="J80" s="5">
        <v>0</v>
      </c>
      <c r="K80" s="5">
        <v>0.02</v>
      </c>
      <c r="L80" s="5">
        <v>0</v>
      </c>
      <c r="M80" s="5">
        <v>0</v>
      </c>
      <c r="N80" s="5">
        <v>0</v>
      </c>
      <c r="O80" s="5">
        <v>0</v>
      </c>
      <c r="P8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1" spans="1:16" x14ac:dyDescent="0.15">
      <c r="A81" s="5">
        <f t="shared" si="0"/>
        <v>6</v>
      </c>
      <c r="B81" s="5">
        <v>12</v>
      </c>
      <c r="C81" s="5">
        <f>MAX(VLOOKUP(表3_3[[#This Row],[皮肤id]],表1[[id]:[魅力]],15,FALSE),100)*(1+VLOOKUP(表3_3[[#This Row],[星级]],[2]魅力系统!$E$41:$F$53,2,FALSE))</f>
        <v>9450</v>
      </c>
      <c r="D81" s="5">
        <f>表3_3[[#This Row],[星级]]^2*20000+20000*表3_3[[#This Row],[星级]]</f>
        <v>3120000</v>
      </c>
      <c r="E81" s="5" t="str">
        <f>"["&amp;IF(表3_3[[#This Row],[星级]]=0,"","""w"&amp;500+表3_3[[#This Row],[皮肤id]]&amp;""","&amp;VLOOKUP(表3_3[[#This Row],[星级]],description!$C$1:$D$13,2,FALSE))&amp;"]"</f>
        <v>["w506",3600]</v>
      </c>
      <c r="F8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["06z1","06z2","4jie"]</v>
      </c>
      <c r="G81" s="5">
        <v>0</v>
      </c>
      <c r="H81" s="5">
        <v>0</v>
      </c>
      <c r="I81" s="5">
        <v>5</v>
      </c>
      <c r="J81" s="5">
        <v>0</v>
      </c>
      <c r="K81" s="5">
        <v>0.03</v>
      </c>
      <c r="L81" s="5">
        <v>0</v>
      </c>
      <c r="M81" s="5">
        <v>0</v>
      </c>
      <c r="N81" s="5">
        <v>0</v>
      </c>
      <c r="O81" s="5">
        <v>0</v>
      </c>
      <c r="P8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2" spans="1:16" x14ac:dyDescent="0.15">
      <c r="A82" s="5">
        <f>A69+1</f>
        <v>7</v>
      </c>
      <c r="B82" s="5">
        <v>0</v>
      </c>
      <c r="C82" s="5">
        <f>MAX(VLOOKUP(表3_3[[#This Row],[皮肤id]],表1[[id]:[魅力]],15,FALSE),100)*(1+VLOOKUP(表3_3[[#This Row],[星级]],[2]魅力系统!$E$41:$F$53,2,FALSE))</f>
        <v>1150</v>
      </c>
      <c r="D82" s="5">
        <f>表3_3[[#This Row],[星级]]^2*20000+20000*表3_3[[#This Row],[星级]]</f>
        <v>0</v>
      </c>
      <c r="E82" s="5" t="str">
        <f>"["&amp;IF(表3_3[[#This Row],[星级]]=0,"","""w"&amp;500+表3_3[[#This Row],[皮肤id]]&amp;""","&amp;VLOOKUP(表3_3[[#This Row],[星级]],description!$C$1:$D$13,2,FALSE))&amp;"]"</f>
        <v>[]</v>
      </c>
      <c r="F8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3" spans="1:16" x14ac:dyDescent="0.15">
      <c r="A83" s="5">
        <f t="shared" si="0"/>
        <v>7</v>
      </c>
      <c r="B83" s="5">
        <v>1</v>
      </c>
      <c r="C83" s="5">
        <f>MAX(VLOOKUP(表3_3[[#This Row],[皮肤id]],表1[[id]:[魅力]],15,FALSE),100)*(1+VLOOKUP(表3_3[[#This Row],[星级]],[2]魅力系统!$E$41:$F$53,2,FALSE))</f>
        <v>1725</v>
      </c>
      <c r="D83" s="5">
        <f>表3_3[[#This Row],[星级]]^2*20000+20000*表3_3[[#This Row],[星级]]</f>
        <v>40000</v>
      </c>
      <c r="E83" s="5" t="str">
        <f>"["&amp;IF(表3_3[[#This Row],[星级]]=0,"","""w"&amp;500+表3_3[[#This Row],[皮肤id]]&amp;""","&amp;VLOOKUP(表3_3[[#This Row],[星级]],description!$C$1:$D$13,2,FALSE))&amp;"]"</f>
        <v>["w507",10]</v>
      </c>
      <c r="F8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83" s="5">
        <v>0</v>
      </c>
      <c r="H83" s="5">
        <v>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4" spans="1:16" x14ac:dyDescent="0.15">
      <c r="A84" s="5">
        <f t="shared" ref="A84:A94" si="1">A71+1</f>
        <v>7</v>
      </c>
      <c r="B84" s="5">
        <v>2</v>
      </c>
      <c r="C84" s="5">
        <f>MAX(VLOOKUP(表3_3[[#This Row],[皮肤id]],表1[[id]:[魅力]],15,FALSE),100)*(1+VLOOKUP(表3_3[[#This Row],[星级]],[2]魅力系统!$E$41:$F$53,2,FALSE))</f>
        <v>2300</v>
      </c>
      <c r="D84" s="5">
        <f>表3_3[[#This Row],[星级]]^2*20000+20000*表3_3[[#This Row],[星级]]</f>
        <v>120000</v>
      </c>
      <c r="E84" s="5" t="str">
        <f>"["&amp;IF(表3_3[[#This Row],[星级]]=0,"","""w"&amp;500+表3_3[[#This Row],[皮肤id]]&amp;""","&amp;VLOOKUP(表3_3[[#This Row],[星级]],description!$C$1:$D$13,2,FALSE))&amp;"]"</f>
        <v>["w507",20]</v>
      </c>
      <c r="F8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["07z1","",""]</v>
      </c>
      <c r="G84" s="5">
        <v>0</v>
      </c>
      <c r="H84" s="5">
        <v>3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5" spans="1:16" x14ac:dyDescent="0.15">
      <c r="A85" s="5">
        <f t="shared" si="1"/>
        <v>7</v>
      </c>
      <c r="B85" s="5">
        <v>3</v>
      </c>
      <c r="C85" s="5">
        <f>MAX(VLOOKUP(表3_3[[#This Row],[皮肤id]],表1[[id]:[魅力]],15,FALSE),100)*(1+VLOOKUP(表3_3[[#This Row],[星级]],[2]魅力系统!$E$41:$F$53,2,FALSE))</f>
        <v>2875</v>
      </c>
      <c r="D85" s="5">
        <f>表3_3[[#This Row],[星级]]^2*20000+20000*表3_3[[#This Row],[星级]]</f>
        <v>240000</v>
      </c>
      <c r="E85" s="5" t="str">
        <f>"["&amp;IF(表3_3[[#This Row],[星级]]=0,"","""w"&amp;500+表3_3[[#This Row],[皮肤id]]&amp;""","&amp;VLOOKUP(表3_3[[#This Row],[星级]],description!$C$1:$D$13,2,FALSE))&amp;"]"</f>
        <v>["w507",40]</v>
      </c>
      <c r="F8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["07z1","",""]</v>
      </c>
      <c r="G85" s="5">
        <v>0</v>
      </c>
      <c r="H85" s="5">
        <v>3</v>
      </c>
      <c r="I85" s="5">
        <v>0</v>
      </c>
      <c r="J85" s="5">
        <v>0</v>
      </c>
      <c r="K85" s="5">
        <v>0.01</v>
      </c>
      <c r="L85" s="5">
        <v>0</v>
      </c>
      <c r="M85" s="5">
        <v>0</v>
      </c>
      <c r="N85" s="5">
        <v>0</v>
      </c>
      <c r="O85" s="5">
        <v>0</v>
      </c>
      <c r="P8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6" spans="1:16" x14ac:dyDescent="0.15">
      <c r="A86" s="5">
        <f t="shared" si="1"/>
        <v>7</v>
      </c>
      <c r="B86" s="5">
        <v>4</v>
      </c>
      <c r="C86" s="5">
        <f>MAX(VLOOKUP(表3_3[[#This Row],[皮肤id]],表1[[id]:[魅力]],15,FALSE),100)*(1+VLOOKUP(表3_3[[#This Row],[星级]],[2]魅力系统!$E$41:$F$53,2,FALSE))</f>
        <v>3450</v>
      </c>
      <c r="D86" s="5">
        <f>表3_3[[#This Row],[星级]]^2*20000+20000*表3_3[[#This Row],[星级]]</f>
        <v>400000</v>
      </c>
      <c r="E86" s="5" t="str">
        <f>"["&amp;IF(表3_3[[#This Row],[星级]]=0,"","""w"&amp;500+表3_3[[#This Row],[皮肤id]]&amp;""","&amp;VLOOKUP(表3_3[[#This Row],[星级]],description!$C$1:$D$13,2,FALSE))&amp;"]"</f>
        <v>["w507",60]</v>
      </c>
      <c r="F8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["07z1","",""]</v>
      </c>
      <c r="G86" s="5">
        <v>0</v>
      </c>
      <c r="H86" s="5">
        <v>4</v>
      </c>
      <c r="I86" s="5">
        <v>0</v>
      </c>
      <c r="J86" s="5">
        <v>0</v>
      </c>
      <c r="K86" s="5">
        <v>0.01</v>
      </c>
      <c r="L86" s="5">
        <v>0</v>
      </c>
      <c r="M86" s="5">
        <v>0</v>
      </c>
      <c r="N86" s="5">
        <v>0</v>
      </c>
      <c r="O86" s="5">
        <v>0</v>
      </c>
      <c r="P8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7" spans="1:16" x14ac:dyDescent="0.15">
      <c r="A87" s="5">
        <f t="shared" si="1"/>
        <v>7</v>
      </c>
      <c r="B87" s="5">
        <v>5</v>
      </c>
      <c r="C87" s="5">
        <f>MAX(VLOOKUP(表3_3[[#This Row],[皮肤id]],表1[[id]:[魅力]],15,FALSE),100)*(1+VLOOKUP(表3_3[[#This Row],[星级]],[2]魅力系统!$E$41:$F$53,2,FALSE))</f>
        <v>4025</v>
      </c>
      <c r="D87" s="5">
        <f>表3_3[[#This Row],[星级]]^2*20000+20000*表3_3[[#This Row],[星级]]</f>
        <v>600000</v>
      </c>
      <c r="E87" s="5" t="str">
        <f>"["&amp;IF(表3_3[[#This Row],[星级]]=0,"","""w"&amp;500+表3_3[[#This Row],[皮肤id]]&amp;""","&amp;VLOOKUP(表3_3[[#This Row],[星级]],description!$C$1:$D$13,2,FALSE))&amp;"]"</f>
        <v>["w507",100]</v>
      </c>
      <c r="F8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["07z1","07z2",""]</v>
      </c>
      <c r="G87" s="5">
        <v>0</v>
      </c>
      <c r="H87" s="5">
        <v>4</v>
      </c>
      <c r="I87" s="5">
        <v>0</v>
      </c>
      <c r="J87" s="5">
        <v>0</v>
      </c>
      <c r="K87" s="5">
        <v>0.01</v>
      </c>
      <c r="L87" s="5">
        <v>0</v>
      </c>
      <c r="M87" s="5">
        <v>0</v>
      </c>
      <c r="N87" s="5">
        <v>0</v>
      </c>
      <c r="O87" s="5">
        <v>0</v>
      </c>
      <c r="P8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88" spans="1:16" x14ac:dyDescent="0.15">
      <c r="A88" s="5">
        <f t="shared" si="1"/>
        <v>7</v>
      </c>
      <c r="B88" s="5">
        <v>6</v>
      </c>
      <c r="C88" s="5">
        <f>MAX(VLOOKUP(表3_3[[#This Row],[皮肤id]],表1[[id]:[魅力]],15,FALSE),100)*(1+VLOOKUP(表3_3[[#This Row],[星级]],[2]魅力系统!$E$41:$F$53,2,FALSE))</f>
        <v>4600</v>
      </c>
      <c r="D88" s="5">
        <f>表3_3[[#This Row],[星级]]^2*20000+20000*表3_3[[#This Row],[星级]]</f>
        <v>840000</v>
      </c>
      <c r="E88" s="5" t="str">
        <f>"["&amp;IF(表3_3[[#This Row],[星级]]=0,"","""w"&amp;500+表3_3[[#This Row],[皮肤id]]&amp;""","&amp;VLOOKUP(表3_3[[#This Row],[星级]],description!$C$1:$D$13,2,FALSE))&amp;"]"</f>
        <v>["w507",200]</v>
      </c>
      <c r="F8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["07z1","07z2",""]</v>
      </c>
      <c r="G88" s="5">
        <v>0</v>
      </c>
      <c r="H88" s="5">
        <v>4</v>
      </c>
      <c r="I88" s="5">
        <v>0</v>
      </c>
      <c r="J88" s="5">
        <v>0</v>
      </c>
      <c r="K88" s="5">
        <v>0.02</v>
      </c>
      <c r="L88" s="5">
        <v>0</v>
      </c>
      <c r="M88" s="5">
        <v>0</v>
      </c>
      <c r="N88" s="5">
        <v>0</v>
      </c>
      <c r="O88" s="5">
        <v>0</v>
      </c>
      <c r="P8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89" spans="1:16" x14ac:dyDescent="0.15">
      <c r="A89" s="5">
        <f t="shared" si="1"/>
        <v>7</v>
      </c>
      <c r="B89" s="5">
        <v>7</v>
      </c>
      <c r="C89" s="5">
        <f>MAX(VLOOKUP(表3_3[[#This Row],[皮肤id]],表1[[id]:[魅力]],15,FALSE),100)*(1+VLOOKUP(表3_3[[#This Row],[星级]],[2]魅力系统!$E$41:$F$53,2,FALSE))</f>
        <v>5175</v>
      </c>
      <c r="D89" s="5">
        <f>表3_3[[#This Row],[星级]]^2*20000+20000*表3_3[[#This Row],[星级]]</f>
        <v>1120000</v>
      </c>
      <c r="E89" s="5" t="str">
        <f>"["&amp;IF(表3_3[[#This Row],[星级]]=0,"","""w"&amp;500+表3_3[[#This Row],[皮肤id]]&amp;""","&amp;VLOOKUP(表3_3[[#This Row],[星级]],description!$C$1:$D$13,2,FALSE))&amp;"]"</f>
        <v>["w507",400]</v>
      </c>
      <c r="F8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["07z1","07z2",""]</v>
      </c>
      <c r="G89" s="5">
        <v>0</v>
      </c>
      <c r="H89" s="5">
        <v>5</v>
      </c>
      <c r="I89" s="5">
        <v>0</v>
      </c>
      <c r="J89" s="5">
        <v>0</v>
      </c>
      <c r="K89" s="5">
        <v>0.02</v>
      </c>
      <c r="L89" s="5">
        <v>0</v>
      </c>
      <c r="M89" s="5">
        <v>0</v>
      </c>
      <c r="N89" s="5">
        <v>0</v>
      </c>
      <c r="O89" s="5">
        <v>0</v>
      </c>
      <c r="P8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90" spans="1:16" x14ac:dyDescent="0.15">
      <c r="A90" s="5">
        <f t="shared" si="1"/>
        <v>7</v>
      </c>
      <c r="B90" s="5">
        <v>8</v>
      </c>
      <c r="C90" s="5">
        <f>MAX(VLOOKUP(表3_3[[#This Row],[皮肤id]],表1[[id]:[魅力]],15,FALSE),100)*(1+VLOOKUP(表3_3[[#This Row],[星级]],[2]魅力系统!$E$41:$F$53,2,FALSE))</f>
        <v>5750</v>
      </c>
      <c r="D90" s="5">
        <f>表3_3[[#This Row],[星级]]^2*20000+20000*表3_3[[#This Row],[星级]]</f>
        <v>1440000</v>
      </c>
      <c r="E90" s="5" t="str">
        <f>"["&amp;IF(表3_3[[#This Row],[星级]]=0,"","""w"&amp;500+表3_3[[#This Row],[皮肤id]]&amp;""","&amp;VLOOKUP(表3_3[[#This Row],[星级]],description!$C$1:$D$13,2,FALSE))&amp;"]"</f>
        <v>["w507",700]</v>
      </c>
      <c r="F9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["07z1","07z2","3jie"]</v>
      </c>
      <c r="G90" s="5">
        <v>0</v>
      </c>
      <c r="H90" s="5">
        <v>5</v>
      </c>
      <c r="I90" s="5">
        <v>0</v>
      </c>
      <c r="J90" s="5">
        <v>0</v>
      </c>
      <c r="K90" s="5">
        <v>0.02</v>
      </c>
      <c r="L90" s="5">
        <v>0</v>
      </c>
      <c r="M90" s="5">
        <v>0</v>
      </c>
      <c r="N90" s="5">
        <v>0</v>
      </c>
      <c r="O90" s="5">
        <v>0</v>
      </c>
      <c r="P9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1" spans="1:16" x14ac:dyDescent="0.15">
      <c r="A91" s="5">
        <f t="shared" si="1"/>
        <v>7</v>
      </c>
      <c r="B91" s="5">
        <v>9</v>
      </c>
      <c r="C91" s="5">
        <f>MAX(VLOOKUP(表3_3[[#This Row],[皮肤id]],表1[[id]:[魅力]],15,FALSE),100)*(1+VLOOKUP(表3_3[[#This Row],[星级]],[2]魅力系统!$E$41:$F$53,2,FALSE))</f>
        <v>6900</v>
      </c>
      <c r="D91" s="5">
        <f>表3_3[[#This Row],[星级]]^2*20000+20000*表3_3[[#This Row],[星级]]</f>
        <v>1800000</v>
      </c>
      <c r="E91" s="5" t="str">
        <f>"["&amp;IF(表3_3[[#This Row],[星级]]=0,"","""w"&amp;500+表3_3[[#This Row],[皮肤id]]&amp;""","&amp;VLOOKUP(表3_3[[#This Row],[星级]],description!$C$1:$D$13,2,FALSE))&amp;"]"</f>
        <v>["w507",1000]</v>
      </c>
      <c r="F9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["07z1","07z2","3jie"]</v>
      </c>
      <c r="G91" s="5">
        <v>0</v>
      </c>
      <c r="H91" s="5">
        <v>6</v>
      </c>
      <c r="I91" s="5">
        <v>0</v>
      </c>
      <c r="J91" s="5">
        <v>0</v>
      </c>
      <c r="K91" s="5">
        <v>0.02</v>
      </c>
      <c r="L91" s="5">
        <v>0</v>
      </c>
      <c r="M91" s="5">
        <v>0</v>
      </c>
      <c r="N91" s="5">
        <v>0</v>
      </c>
      <c r="O91" s="5">
        <v>0</v>
      </c>
      <c r="P9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2" spans="1:16" x14ac:dyDescent="0.15">
      <c r="A92" s="5">
        <f t="shared" si="1"/>
        <v>7</v>
      </c>
      <c r="B92" s="5">
        <v>10</v>
      </c>
      <c r="C92" s="5">
        <f>MAX(VLOOKUP(表3_3[[#This Row],[皮肤id]],表1[[id]:[魅力]],15,FALSE),100)*(1+VLOOKUP(表3_3[[#This Row],[星级]],[2]魅力系统!$E$41:$F$53,2,FALSE))</f>
        <v>8050</v>
      </c>
      <c r="D92" s="5">
        <f>表3_3[[#This Row],[星级]]^2*20000+20000*表3_3[[#This Row],[星级]]</f>
        <v>2200000</v>
      </c>
      <c r="E92" s="5" t="str">
        <f>"["&amp;IF(表3_3[[#This Row],[星级]]=0,"","""w"&amp;500+表3_3[[#This Row],[皮肤id]]&amp;""","&amp;VLOOKUP(表3_3[[#This Row],[星级]],description!$C$1:$D$13,2,FALSE))&amp;"]"</f>
        <v>["w507",1800]</v>
      </c>
      <c r="F9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["07z1","07z2","4jie"]</v>
      </c>
      <c r="G92" s="5">
        <v>0</v>
      </c>
      <c r="H92" s="5">
        <v>6</v>
      </c>
      <c r="I92" s="5">
        <v>0</v>
      </c>
      <c r="J92" s="5">
        <v>0</v>
      </c>
      <c r="K92" s="5">
        <v>0.02</v>
      </c>
      <c r="L92" s="5">
        <v>0</v>
      </c>
      <c r="M92" s="5">
        <v>0</v>
      </c>
      <c r="N92" s="5">
        <v>0</v>
      </c>
      <c r="O92" s="5">
        <v>0</v>
      </c>
      <c r="P9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3" spans="1:16" x14ac:dyDescent="0.15">
      <c r="A93" s="5">
        <f t="shared" si="1"/>
        <v>7</v>
      </c>
      <c r="B93" s="5">
        <v>11</v>
      </c>
      <c r="C93" s="5">
        <f>MAX(VLOOKUP(表3_3[[#This Row],[皮肤id]],表1[[id]:[魅力]],15,FALSE),100)*(1+VLOOKUP(表3_3[[#This Row],[星级]],[2]魅力系统!$E$41:$F$53,2,FALSE))</f>
        <v>9200</v>
      </c>
      <c r="D93" s="5">
        <f>表3_3[[#This Row],[星级]]^2*20000+20000*表3_3[[#This Row],[星级]]</f>
        <v>2640000</v>
      </c>
      <c r="E93" s="5" t="str">
        <f>"["&amp;IF(表3_3[[#This Row],[星级]]=0,"","""w"&amp;500+表3_3[[#This Row],[皮肤id]]&amp;""","&amp;VLOOKUP(表3_3[[#This Row],[星级]],description!$C$1:$D$13,2,FALSE))&amp;"]"</f>
        <v>["w507",2600]</v>
      </c>
      <c r="F9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["07z1","07z2","4jie"]</v>
      </c>
      <c r="G93" s="5">
        <v>0</v>
      </c>
      <c r="H93" s="5">
        <v>8</v>
      </c>
      <c r="I93" s="5">
        <v>0</v>
      </c>
      <c r="J93" s="5">
        <v>0</v>
      </c>
      <c r="K93" s="5">
        <v>0.02</v>
      </c>
      <c r="L93" s="5">
        <v>0</v>
      </c>
      <c r="M93" s="5">
        <v>0</v>
      </c>
      <c r="N93" s="5">
        <v>0</v>
      </c>
      <c r="O93" s="5">
        <v>0</v>
      </c>
      <c r="P9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4" spans="1:16" x14ac:dyDescent="0.15">
      <c r="A94" s="5">
        <f t="shared" si="1"/>
        <v>7</v>
      </c>
      <c r="B94" s="5">
        <v>12</v>
      </c>
      <c r="C94" s="5">
        <f>MAX(VLOOKUP(表3_3[[#This Row],[皮肤id]],表1[[id]:[魅力]],15,FALSE),100)*(1+VLOOKUP(表3_3[[#This Row],[星级]],[2]魅力系统!$E$41:$F$53,2,FALSE))</f>
        <v>10350</v>
      </c>
      <c r="D94" s="5">
        <f>表3_3[[#This Row],[星级]]^2*20000+20000*表3_3[[#This Row],[星级]]</f>
        <v>3120000</v>
      </c>
      <c r="E94" s="5" t="str">
        <f>"["&amp;IF(表3_3[[#This Row],[星级]]=0,"","""w"&amp;500+表3_3[[#This Row],[皮肤id]]&amp;""","&amp;VLOOKUP(表3_3[[#This Row],[星级]],description!$C$1:$D$13,2,FALSE))&amp;"]"</f>
        <v>["w507",3600]</v>
      </c>
      <c r="F9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["07z1","07z2","4jie"]</v>
      </c>
      <c r="G94" s="5">
        <v>0</v>
      </c>
      <c r="H94" s="5">
        <v>8</v>
      </c>
      <c r="I94" s="5">
        <v>0</v>
      </c>
      <c r="J94" s="5">
        <v>0</v>
      </c>
      <c r="K94" s="5">
        <v>0.03</v>
      </c>
      <c r="L94" s="5">
        <v>0</v>
      </c>
      <c r="M94" s="5">
        <v>0</v>
      </c>
      <c r="N94" s="5">
        <v>0</v>
      </c>
      <c r="O94" s="5">
        <v>0</v>
      </c>
      <c r="P9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5" spans="1:16" x14ac:dyDescent="0.15">
      <c r="A95" s="5">
        <f>A82+1</f>
        <v>8</v>
      </c>
      <c r="B95" s="5">
        <v>0</v>
      </c>
      <c r="C95" s="5">
        <f>MAX(VLOOKUP(表3_3[[#This Row],[皮肤id]],表1[[id]:[魅力]],15,FALSE),100)*(1+VLOOKUP(表3_3[[#This Row],[星级]],[2]魅力系统!$E$41:$F$53,2,FALSE))</f>
        <v>1250</v>
      </c>
      <c r="D95" s="5">
        <f>表3_3[[#This Row],[星级]]^2*20000+20000*表3_3[[#This Row],[星级]]</f>
        <v>0</v>
      </c>
      <c r="E95" s="5" t="str">
        <f>"["&amp;IF(表3_3[[#This Row],[星级]]=0,"","""w"&amp;500+表3_3[[#This Row],[皮肤id]]&amp;""","&amp;VLOOKUP(表3_3[[#This Row],[星级]],description!$C$1:$D$13,2,FALSE))&amp;"]"</f>
        <v>[]</v>
      </c>
      <c r="F9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6" spans="1:16" x14ac:dyDescent="0.15">
      <c r="A96" s="5">
        <f t="shared" ref="A96:A107" si="2">A83+1</f>
        <v>8</v>
      </c>
      <c r="B96" s="5">
        <v>1</v>
      </c>
      <c r="C96" s="5">
        <f>MAX(VLOOKUP(表3_3[[#This Row],[皮肤id]],表1[[id]:[魅力]],15,FALSE),100)*(1+VLOOKUP(表3_3[[#This Row],[星级]],[2]魅力系统!$E$41:$F$53,2,FALSE))</f>
        <v>1875</v>
      </c>
      <c r="D96" s="5">
        <f>表3_3[[#This Row],[星级]]^2*20000+20000*表3_3[[#This Row],[星级]]</f>
        <v>40000</v>
      </c>
      <c r="E96" s="5" t="str">
        <f>"["&amp;IF(表3_3[[#This Row],[星级]]=0,"","""w"&amp;500+表3_3[[#This Row],[皮肤id]]&amp;""","&amp;VLOOKUP(表3_3[[#This Row],[星级]],description!$C$1:$D$13,2,FALSE))&amp;"]"</f>
        <v>["w508",10]</v>
      </c>
      <c r="F9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4.0000000000000001E-3</v>
      </c>
      <c r="P9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7" spans="1:16" x14ac:dyDescent="0.15">
      <c r="A97" s="5">
        <f t="shared" si="2"/>
        <v>8</v>
      </c>
      <c r="B97" s="5">
        <v>2</v>
      </c>
      <c r="C97" s="5">
        <f>MAX(VLOOKUP(表3_3[[#This Row],[皮肤id]],表1[[id]:[魅力]],15,FALSE),100)*(1+VLOOKUP(表3_3[[#This Row],[星级]],[2]魅力系统!$E$41:$F$53,2,FALSE))</f>
        <v>2500</v>
      </c>
      <c r="D97" s="5">
        <f>表3_3[[#This Row],[星级]]^2*20000+20000*表3_3[[#This Row],[星级]]</f>
        <v>120000</v>
      </c>
      <c r="E97" s="5" t="str">
        <f>"["&amp;IF(表3_3[[#This Row],[星级]]=0,"","""w"&amp;500+表3_3[[#This Row],[皮肤id]]&amp;""","&amp;VLOOKUP(表3_3[[#This Row],[星级]],description!$C$1:$D$13,2,FALSE))&amp;"]"</f>
        <v>["w508",20]</v>
      </c>
      <c r="F9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["08z1","",""]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4.0000000000000001E-3</v>
      </c>
      <c r="P9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98" spans="1:16" x14ac:dyDescent="0.15">
      <c r="A98" s="5">
        <f t="shared" si="2"/>
        <v>8</v>
      </c>
      <c r="B98" s="5">
        <v>3</v>
      </c>
      <c r="C98" s="5">
        <f>MAX(VLOOKUP(表3_3[[#This Row],[皮肤id]],表1[[id]:[魅力]],15,FALSE),100)*(1+VLOOKUP(表3_3[[#This Row],[星级]],[2]魅力系统!$E$41:$F$53,2,FALSE))</f>
        <v>3125</v>
      </c>
      <c r="D98" s="5">
        <f>表3_3[[#This Row],[星级]]^2*20000+20000*表3_3[[#This Row],[星级]]</f>
        <v>240000</v>
      </c>
      <c r="E98" s="5" t="str">
        <f>"["&amp;IF(表3_3[[#This Row],[星级]]=0,"","""w"&amp;500+表3_3[[#This Row],[皮肤id]]&amp;""","&amp;VLOOKUP(表3_3[[#This Row],[星级]],description!$C$1:$D$13,2,FALSE))&amp;"]"</f>
        <v>["w508",40]</v>
      </c>
      <c r="F9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["08z1","",""]</v>
      </c>
      <c r="G98" s="5">
        <v>0</v>
      </c>
      <c r="H98" s="5">
        <v>0</v>
      </c>
      <c r="I98" s="5">
        <v>0</v>
      </c>
      <c r="J98" s="5">
        <v>0</v>
      </c>
      <c r="K98" s="5">
        <v>0.01</v>
      </c>
      <c r="L98" s="5">
        <v>0</v>
      </c>
      <c r="M98" s="5">
        <v>0</v>
      </c>
      <c r="N98" s="5">
        <v>0</v>
      </c>
      <c r="O98" s="5">
        <v>4.0000000000000001E-3</v>
      </c>
      <c r="P9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99" spans="1:16" x14ac:dyDescent="0.15">
      <c r="A99" s="5">
        <f t="shared" si="2"/>
        <v>8</v>
      </c>
      <c r="B99" s="5">
        <v>4</v>
      </c>
      <c r="C99" s="5">
        <f>MAX(VLOOKUP(表3_3[[#This Row],[皮肤id]],表1[[id]:[魅力]],15,FALSE),100)*(1+VLOOKUP(表3_3[[#This Row],[星级]],[2]魅力系统!$E$41:$F$53,2,FALSE))</f>
        <v>3750</v>
      </c>
      <c r="D99" s="5">
        <f>表3_3[[#This Row],[星级]]^2*20000+20000*表3_3[[#This Row],[星级]]</f>
        <v>400000</v>
      </c>
      <c r="E99" s="5" t="str">
        <f>"["&amp;IF(表3_3[[#This Row],[星级]]=0,"","""w"&amp;500+表3_3[[#This Row],[皮肤id]]&amp;""","&amp;VLOOKUP(表3_3[[#This Row],[星级]],description!$C$1:$D$13,2,FALSE))&amp;"]"</f>
        <v>["w508",60]</v>
      </c>
      <c r="F9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["08z1","",""]</v>
      </c>
      <c r="G99" s="5">
        <v>0</v>
      </c>
      <c r="H99" s="5">
        <v>0</v>
      </c>
      <c r="I99" s="5">
        <v>0</v>
      </c>
      <c r="J99" s="5">
        <v>0</v>
      </c>
      <c r="K99" s="5">
        <v>0.01</v>
      </c>
      <c r="L99" s="5">
        <v>0</v>
      </c>
      <c r="M99" s="5">
        <v>0</v>
      </c>
      <c r="N99" s="5">
        <v>0</v>
      </c>
      <c r="O99" s="5">
        <v>5.0000000000000001E-3</v>
      </c>
      <c r="P9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100" spans="1:16" x14ac:dyDescent="0.15">
      <c r="A100" s="5">
        <f t="shared" si="2"/>
        <v>8</v>
      </c>
      <c r="B100" s="5">
        <v>5</v>
      </c>
      <c r="C100" s="5">
        <f>MAX(VLOOKUP(表3_3[[#This Row],[皮肤id]],表1[[id]:[魅力]],15,FALSE),100)*(1+VLOOKUP(表3_3[[#This Row],[星级]],[2]魅力系统!$E$41:$F$53,2,FALSE))</f>
        <v>4375</v>
      </c>
      <c r="D100" s="5">
        <f>表3_3[[#This Row],[星级]]^2*20000+20000*表3_3[[#This Row],[星级]]</f>
        <v>600000</v>
      </c>
      <c r="E100" s="5" t="str">
        <f>"["&amp;IF(表3_3[[#This Row],[星级]]=0,"","""w"&amp;500+表3_3[[#This Row],[皮肤id]]&amp;""","&amp;VLOOKUP(表3_3[[#This Row],[星级]],description!$C$1:$D$13,2,FALSE))&amp;"]"</f>
        <v>["w508",100]</v>
      </c>
      <c r="F10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["08z1","08z2",""]</v>
      </c>
      <c r="G100" s="5">
        <v>0</v>
      </c>
      <c r="H100" s="5">
        <v>0</v>
      </c>
      <c r="I100" s="5">
        <v>0</v>
      </c>
      <c r="J100" s="5">
        <v>0</v>
      </c>
      <c r="K100" s="5">
        <v>0.01</v>
      </c>
      <c r="L100" s="5">
        <v>0</v>
      </c>
      <c r="M100" s="5">
        <v>0</v>
      </c>
      <c r="N100" s="5">
        <v>0</v>
      </c>
      <c r="O100" s="5">
        <v>5.0000000000000001E-3</v>
      </c>
      <c r="P10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1" spans="1:16" x14ac:dyDescent="0.15">
      <c r="A101" s="5">
        <f t="shared" si="2"/>
        <v>8</v>
      </c>
      <c r="B101" s="5">
        <v>6</v>
      </c>
      <c r="C101" s="5">
        <f>MAX(VLOOKUP(表3_3[[#This Row],[皮肤id]],表1[[id]:[魅力]],15,FALSE),100)*(1+VLOOKUP(表3_3[[#This Row],[星级]],[2]魅力系统!$E$41:$F$53,2,FALSE))</f>
        <v>5000</v>
      </c>
      <c r="D101" s="5">
        <f>表3_3[[#This Row],[星级]]^2*20000+20000*表3_3[[#This Row],[星级]]</f>
        <v>840000</v>
      </c>
      <c r="E101" s="5" t="str">
        <f>"["&amp;IF(表3_3[[#This Row],[星级]]=0,"","""w"&amp;500+表3_3[[#This Row],[皮肤id]]&amp;""","&amp;VLOOKUP(表3_3[[#This Row],[星级]],description!$C$1:$D$13,2,FALSE))&amp;"]"</f>
        <v>["w508",200]</v>
      </c>
      <c r="F10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["08z1","08z2",""]</v>
      </c>
      <c r="G101" s="5">
        <v>0</v>
      </c>
      <c r="H101" s="5">
        <v>0</v>
      </c>
      <c r="I101" s="5">
        <v>0</v>
      </c>
      <c r="J101" s="5">
        <v>0</v>
      </c>
      <c r="K101" s="5">
        <v>0.02</v>
      </c>
      <c r="L101" s="5">
        <v>0</v>
      </c>
      <c r="M101" s="5">
        <v>0</v>
      </c>
      <c r="N101" s="5">
        <v>0</v>
      </c>
      <c r="O101" s="5">
        <v>5.0000000000000001E-3</v>
      </c>
      <c r="P10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2" spans="1:16" x14ac:dyDescent="0.15">
      <c r="A102" s="5">
        <f t="shared" si="2"/>
        <v>8</v>
      </c>
      <c r="B102" s="5">
        <v>7</v>
      </c>
      <c r="C102" s="5">
        <f>MAX(VLOOKUP(表3_3[[#This Row],[皮肤id]],表1[[id]:[魅力]],15,FALSE),100)*(1+VLOOKUP(表3_3[[#This Row],[星级]],[2]魅力系统!$E$41:$F$53,2,FALSE))</f>
        <v>5625</v>
      </c>
      <c r="D102" s="5">
        <f>表3_3[[#This Row],[星级]]^2*20000+20000*表3_3[[#This Row],[星级]]</f>
        <v>1120000</v>
      </c>
      <c r="E102" s="5" t="str">
        <f>"["&amp;IF(表3_3[[#This Row],[星级]]=0,"","""w"&amp;500+表3_3[[#This Row],[皮肤id]]&amp;""","&amp;VLOOKUP(表3_3[[#This Row],[星级]],description!$C$1:$D$13,2,FALSE))&amp;"]"</f>
        <v>["w508",400]</v>
      </c>
      <c r="F10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["08z1","08z2",""]</v>
      </c>
      <c r="G102" s="5">
        <v>0</v>
      </c>
      <c r="H102" s="5">
        <v>0</v>
      </c>
      <c r="I102" s="5">
        <v>0</v>
      </c>
      <c r="J102" s="5">
        <v>0</v>
      </c>
      <c r="K102" s="5">
        <v>0.02</v>
      </c>
      <c r="L102" s="5">
        <v>0</v>
      </c>
      <c r="M102" s="5">
        <v>0</v>
      </c>
      <c r="N102" s="5">
        <v>0</v>
      </c>
      <c r="O102" s="5">
        <v>6.0000000000000001E-3</v>
      </c>
      <c r="P10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3" spans="1:16" x14ac:dyDescent="0.15">
      <c r="A103" s="5">
        <f t="shared" si="2"/>
        <v>8</v>
      </c>
      <c r="B103" s="5">
        <v>8</v>
      </c>
      <c r="C103" s="5">
        <f>MAX(VLOOKUP(表3_3[[#This Row],[皮肤id]],表1[[id]:[魅力]],15,FALSE),100)*(1+VLOOKUP(表3_3[[#This Row],[星级]],[2]魅力系统!$E$41:$F$53,2,FALSE))</f>
        <v>6250</v>
      </c>
      <c r="D103" s="5">
        <f>表3_3[[#This Row],[星级]]^2*20000+20000*表3_3[[#This Row],[星级]]</f>
        <v>1440000</v>
      </c>
      <c r="E103" s="5" t="str">
        <f>"["&amp;IF(表3_3[[#This Row],[星级]]=0,"","""w"&amp;500+表3_3[[#This Row],[皮肤id]]&amp;""","&amp;VLOOKUP(表3_3[[#This Row],[星级]],description!$C$1:$D$13,2,FALSE))&amp;"]"</f>
        <v>["w508",700]</v>
      </c>
      <c r="F10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["08z1","08z2","3jie"]</v>
      </c>
      <c r="G103" s="5">
        <v>0</v>
      </c>
      <c r="H103" s="5">
        <v>0</v>
      </c>
      <c r="I103" s="5">
        <v>0</v>
      </c>
      <c r="J103" s="5">
        <v>0</v>
      </c>
      <c r="K103" s="5">
        <v>0.02</v>
      </c>
      <c r="L103" s="5">
        <v>0</v>
      </c>
      <c r="M103" s="5">
        <v>0</v>
      </c>
      <c r="N103" s="5">
        <v>0</v>
      </c>
      <c r="O103" s="5">
        <v>6.0000000000000001E-3</v>
      </c>
      <c r="P10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4" spans="1:16" x14ac:dyDescent="0.15">
      <c r="A104" s="5">
        <f t="shared" si="2"/>
        <v>8</v>
      </c>
      <c r="B104" s="5">
        <v>9</v>
      </c>
      <c r="C104" s="5">
        <f>MAX(VLOOKUP(表3_3[[#This Row],[皮肤id]],表1[[id]:[魅力]],15,FALSE),100)*(1+VLOOKUP(表3_3[[#This Row],[星级]],[2]魅力系统!$E$41:$F$53,2,FALSE))</f>
        <v>7500</v>
      </c>
      <c r="D104" s="5">
        <f>表3_3[[#This Row],[星级]]^2*20000+20000*表3_3[[#This Row],[星级]]</f>
        <v>1800000</v>
      </c>
      <c r="E104" s="5" t="str">
        <f>"["&amp;IF(表3_3[[#This Row],[星级]]=0,"","""w"&amp;500+表3_3[[#This Row],[皮肤id]]&amp;""","&amp;VLOOKUP(表3_3[[#This Row],[星级]],description!$C$1:$D$13,2,FALSE))&amp;"]"</f>
        <v>["w508",1000]</v>
      </c>
      <c r="F10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["08z1","08z2","3jie"]</v>
      </c>
      <c r="G104" s="5">
        <v>0</v>
      </c>
      <c r="H104" s="5">
        <v>0</v>
      </c>
      <c r="I104" s="5">
        <v>0</v>
      </c>
      <c r="J104" s="5">
        <v>0</v>
      </c>
      <c r="K104" s="5">
        <v>0.02</v>
      </c>
      <c r="L104" s="5">
        <v>0</v>
      </c>
      <c r="M104" s="5">
        <v>0</v>
      </c>
      <c r="N104" s="5">
        <v>0</v>
      </c>
      <c r="O104" s="5">
        <v>8.0000000000000002E-3</v>
      </c>
      <c r="P10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5" spans="1:16" x14ac:dyDescent="0.15">
      <c r="A105" s="5">
        <f t="shared" si="2"/>
        <v>8</v>
      </c>
      <c r="B105" s="5">
        <v>10</v>
      </c>
      <c r="C105" s="5">
        <f>MAX(VLOOKUP(表3_3[[#This Row],[皮肤id]],表1[[id]:[魅力]],15,FALSE),100)*(1+VLOOKUP(表3_3[[#This Row],[星级]],[2]魅力系统!$E$41:$F$53,2,FALSE))</f>
        <v>8750</v>
      </c>
      <c r="D105" s="5">
        <f>表3_3[[#This Row],[星级]]^2*20000+20000*表3_3[[#This Row],[星级]]</f>
        <v>2200000</v>
      </c>
      <c r="E105" s="5" t="str">
        <f>"["&amp;IF(表3_3[[#This Row],[星级]]=0,"","""w"&amp;500+表3_3[[#This Row],[皮肤id]]&amp;""","&amp;VLOOKUP(表3_3[[#This Row],[星级]],description!$C$1:$D$13,2,FALSE))&amp;"]"</f>
        <v>["w508",1800]</v>
      </c>
      <c r="F10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["08z1","08z2","4jie"]</v>
      </c>
      <c r="G105" s="5">
        <v>0</v>
      </c>
      <c r="H105" s="5">
        <v>0</v>
      </c>
      <c r="I105" s="5">
        <v>0</v>
      </c>
      <c r="J105" s="5">
        <v>0</v>
      </c>
      <c r="K105" s="5">
        <v>0.02</v>
      </c>
      <c r="L105" s="5">
        <v>0</v>
      </c>
      <c r="M105" s="5">
        <v>0</v>
      </c>
      <c r="N105" s="5">
        <v>0</v>
      </c>
      <c r="O105" s="5">
        <v>8.0000000000000002E-3</v>
      </c>
      <c r="P10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6" spans="1:16" x14ac:dyDescent="0.15">
      <c r="A106" s="5">
        <f t="shared" si="2"/>
        <v>8</v>
      </c>
      <c r="B106" s="5">
        <v>11</v>
      </c>
      <c r="C106" s="5">
        <f>MAX(VLOOKUP(表3_3[[#This Row],[皮肤id]],表1[[id]:[魅力]],15,FALSE),100)*(1+VLOOKUP(表3_3[[#This Row],[星级]],[2]魅力系统!$E$41:$F$53,2,FALSE))</f>
        <v>10000</v>
      </c>
      <c r="D106" s="5">
        <f>表3_3[[#This Row],[星级]]^2*20000+20000*表3_3[[#This Row],[星级]]</f>
        <v>2640000</v>
      </c>
      <c r="E106" s="5" t="str">
        <f>"["&amp;IF(表3_3[[#This Row],[星级]]=0,"","""w"&amp;500+表3_3[[#This Row],[皮肤id]]&amp;""","&amp;VLOOKUP(表3_3[[#This Row],[星级]],description!$C$1:$D$13,2,FALSE))&amp;"]"</f>
        <v>["w508",2600]</v>
      </c>
      <c r="F10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["08z1","08z2","4jie"]</v>
      </c>
      <c r="G106" s="5">
        <v>0</v>
      </c>
      <c r="H106" s="5">
        <v>0</v>
      </c>
      <c r="I106" s="5">
        <v>0</v>
      </c>
      <c r="J106" s="5">
        <v>0</v>
      </c>
      <c r="K106" s="5">
        <v>0.02</v>
      </c>
      <c r="L106" s="5">
        <v>0</v>
      </c>
      <c r="M106" s="5">
        <v>0</v>
      </c>
      <c r="N106" s="5">
        <v>0</v>
      </c>
      <c r="O106" s="5">
        <v>0.01</v>
      </c>
      <c r="P10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7" spans="1:16" x14ac:dyDescent="0.15">
      <c r="A107" s="5">
        <f t="shared" si="2"/>
        <v>8</v>
      </c>
      <c r="B107" s="5">
        <v>12</v>
      </c>
      <c r="C107" s="5">
        <f>MAX(VLOOKUP(表3_3[[#This Row],[皮肤id]],表1[[id]:[魅力]],15,FALSE),100)*(1+VLOOKUP(表3_3[[#This Row],[星级]],[2]魅力系统!$E$41:$F$53,2,FALSE))</f>
        <v>11250</v>
      </c>
      <c r="D107" s="5">
        <f>表3_3[[#This Row],[星级]]^2*20000+20000*表3_3[[#This Row],[星级]]</f>
        <v>3120000</v>
      </c>
      <c r="E107" s="5" t="str">
        <f>"["&amp;IF(表3_3[[#This Row],[星级]]=0,"","""w"&amp;500+表3_3[[#This Row],[皮肤id]]&amp;""","&amp;VLOOKUP(表3_3[[#This Row],[星级]],description!$C$1:$D$13,2,FALSE))&amp;"]"</f>
        <v>["w508",3600]</v>
      </c>
      <c r="F10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["08z1","08z2","4jie"]</v>
      </c>
      <c r="G107" s="5">
        <v>0</v>
      </c>
      <c r="H107" s="5">
        <v>0</v>
      </c>
      <c r="I107" s="5">
        <v>0</v>
      </c>
      <c r="J107" s="5">
        <v>0</v>
      </c>
      <c r="K107" s="5">
        <v>0.03</v>
      </c>
      <c r="L107" s="5">
        <v>0</v>
      </c>
      <c r="M107" s="5">
        <v>0</v>
      </c>
      <c r="N107" s="5">
        <v>0</v>
      </c>
      <c r="O107" s="5">
        <v>0.01</v>
      </c>
      <c r="P10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8" spans="1:16" x14ac:dyDescent="0.15">
      <c r="A108" s="5">
        <f>A95+1</f>
        <v>9</v>
      </c>
      <c r="B108" s="5">
        <v>0</v>
      </c>
      <c r="C108" s="5">
        <f>MAX(VLOOKUP(表3_3[[#This Row],[皮肤id]],表1[[id]:[魅力]],15,FALSE),100)*(1+VLOOKUP(表3_3[[#This Row],[星级]],[2]魅力系统!$E$41:$F$53,2,FALSE))</f>
        <v>1050</v>
      </c>
      <c r="D108" s="5">
        <f>表3_3[[#This Row],[星级]]^2*20000+20000*表3_3[[#This Row],[星级]]</f>
        <v>0</v>
      </c>
      <c r="E108" s="5" t="str">
        <f>"["&amp;IF(表3_3[[#This Row],[星级]]=0,"","""w"&amp;500+表3_3[[#This Row],[皮肤id]]&amp;""","&amp;VLOOKUP(表3_3[[#This Row],[星级]],description!$C$1:$D$13,2,FALSE))&amp;"]"</f>
        <v>[]</v>
      </c>
      <c r="F10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09" spans="1:16" x14ac:dyDescent="0.15">
      <c r="A109" s="5">
        <f t="shared" ref="A109:A120" si="3">A96+1</f>
        <v>9</v>
      </c>
      <c r="B109" s="5">
        <v>1</v>
      </c>
      <c r="C109" s="5">
        <f>MAX(VLOOKUP(表3_3[[#This Row],[皮肤id]],表1[[id]:[魅力]],15,FALSE),100)*(1+VLOOKUP(表3_3[[#This Row],[星级]],[2]魅力系统!$E$41:$F$53,2,FALSE))</f>
        <v>1575</v>
      </c>
      <c r="D109" s="5">
        <f>表3_3[[#This Row],[星级]]^2*20000+20000*表3_3[[#This Row],[星级]]</f>
        <v>40000</v>
      </c>
      <c r="E109" s="5" t="str">
        <f>"["&amp;IF(表3_3[[#This Row],[星级]]=0,"","""w"&amp;500+表3_3[[#This Row],[皮肤id]]&amp;""","&amp;VLOOKUP(表3_3[[#This Row],[星级]],description!$C$1:$D$13,2,FALSE))&amp;"]"</f>
        <v>["w509",10]</v>
      </c>
      <c r="F10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4.0000000000000001E-3</v>
      </c>
      <c r="P10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10" spans="1:16" x14ac:dyDescent="0.15">
      <c r="A110" s="5">
        <f t="shared" si="3"/>
        <v>9</v>
      </c>
      <c r="B110" s="5">
        <v>2</v>
      </c>
      <c r="C110" s="5">
        <f>MAX(VLOOKUP(表3_3[[#This Row],[皮肤id]],表1[[id]:[魅力]],15,FALSE),100)*(1+VLOOKUP(表3_3[[#This Row],[星级]],[2]魅力系统!$E$41:$F$53,2,FALSE))</f>
        <v>2100</v>
      </c>
      <c r="D110" s="5">
        <f>表3_3[[#This Row],[星级]]^2*20000+20000*表3_3[[#This Row],[星级]]</f>
        <v>120000</v>
      </c>
      <c r="E110" s="5" t="str">
        <f>"["&amp;IF(表3_3[[#This Row],[星级]]=0,"","""w"&amp;500+表3_3[[#This Row],[皮肤id]]&amp;""","&amp;VLOOKUP(表3_3[[#This Row],[星级]],description!$C$1:$D$13,2,FALSE))&amp;"]"</f>
        <v>["w509",20]</v>
      </c>
      <c r="F11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["09z1","",""]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4.0000000000000001E-3</v>
      </c>
      <c r="P11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1" spans="1:16" x14ac:dyDescent="0.15">
      <c r="A111" s="5">
        <f t="shared" si="3"/>
        <v>9</v>
      </c>
      <c r="B111" s="5">
        <v>3</v>
      </c>
      <c r="C111" s="5">
        <f>MAX(VLOOKUP(表3_3[[#This Row],[皮肤id]],表1[[id]:[魅力]],15,FALSE),100)*(1+VLOOKUP(表3_3[[#This Row],[星级]],[2]魅力系统!$E$41:$F$53,2,FALSE))</f>
        <v>2625</v>
      </c>
      <c r="D111" s="5">
        <f>表3_3[[#This Row],[星级]]^2*20000+20000*表3_3[[#This Row],[星级]]</f>
        <v>240000</v>
      </c>
      <c r="E111" s="5" t="str">
        <f>"["&amp;IF(表3_3[[#This Row],[星级]]=0,"","""w"&amp;500+表3_3[[#This Row],[皮肤id]]&amp;""","&amp;VLOOKUP(表3_3[[#This Row],[星级]],description!$C$1:$D$13,2,FALSE))&amp;"]"</f>
        <v>["w509",40]</v>
      </c>
      <c r="F11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["09z1","",""]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0.01</v>
      </c>
      <c r="M111" s="5">
        <v>0</v>
      </c>
      <c r="N111" s="5">
        <v>0</v>
      </c>
      <c r="O111" s="5">
        <v>4.0000000000000001E-3</v>
      </c>
      <c r="P11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2" spans="1:16" x14ac:dyDescent="0.15">
      <c r="A112" s="5">
        <f t="shared" si="3"/>
        <v>9</v>
      </c>
      <c r="B112" s="5">
        <v>4</v>
      </c>
      <c r="C112" s="5">
        <f>MAX(VLOOKUP(表3_3[[#This Row],[皮肤id]],表1[[id]:[魅力]],15,FALSE),100)*(1+VLOOKUP(表3_3[[#This Row],[星级]],[2]魅力系统!$E$41:$F$53,2,FALSE))</f>
        <v>3150</v>
      </c>
      <c r="D112" s="5">
        <f>表3_3[[#This Row],[星级]]^2*20000+20000*表3_3[[#This Row],[星级]]</f>
        <v>400000</v>
      </c>
      <c r="E112" s="5" t="str">
        <f>"["&amp;IF(表3_3[[#This Row],[星级]]=0,"","""w"&amp;500+表3_3[[#This Row],[皮肤id]]&amp;""","&amp;VLOOKUP(表3_3[[#This Row],[星级]],description!$C$1:$D$13,2,FALSE))&amp;"]"</f>
        <v>["w509",60]</v>
      </c>
      <c r="F11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["09z1","",""]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0.01</v>
      </c>
      <c r="M112" s="5">
        <v>0</v>
      </c>
      <c r="N112" s="5">
        <v>0</v>
      </c>
      <c r="O112" s="5">
        <v>5.0000000000000001E-3</v>
      </c>
      <c r="P11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3" spans="1:16" x14ac:dyDescent="0.15">
      <c r="A113" s="5">
        <f t="shared" si="3"/>
        <v>9</v>
      </c>
      <c r="B113" s="5">
        <v>5</v>
      </c>
      <c r="C113" s="5">
        <f>MAX(VLOOKUP(表3_3[[#This Row],[皮肤id]],表1[[id]:[魅力]],15,FALSE),100)*(1+VLOOKUP(表3_3[[#This Row],[星级]],[2]魅力系统!$E$41:$F$53,2,FALSE))</f>
        <v>3675</v>
      </c>
      <c r="D113" s="5">
        <f>表3_3[[#This Row],[星级]]^2*20000+20000*表3_3[[#This Row],[星级]]</f>
        <v>600000</v>
      </c>
      <c r="E113" s="5" t="str">
        <f>"["&amp;IF(表3_3[[#This Row],[星级]]=0,"","""w"&amp;500+表3_3[[#This Row],[皮肤id]]&amp;""","&amp;VLOOKUP(表3_3[[#This Row],[星级]],description!$C$1:$D$13,2,FALSE))&amp;"]"</f>
        <v>["w509",100]</v>
      </c>
      <c r="F11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["09z1","09z2",""]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0.01</v>
      </c>
      <c r="M113" s="5">
        <v>0</v>
      </c>
      <c r="N113" s="5">
        <v>0</v>
      </c>
      <c r="O113" s="5">
        <v>5.0000000000000001E-3</v>
      </c>
      <c r="P11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4" spans="1:16" x14ac:dyDescent="0.15">
      <c r="A114" s="5">
        <f t="shared" si="3"/>
        <v>9</v>
      </c>
      <c r="B114" s="5">
        <v>6</v>
      </c>
      <c r="C114" s="5">
        <f>MAX(VLOOKUP(表3_3[[#This Row],[皮肤id]],表1[[id]:[魅力]],15,FALSE),100)*(1+VLOOKUP(表3_3[[#This Row],[星级]],[2]魅力系统!$E$41:$F$53,2,FALSE))</f>
        <v>4200</v>
      </c>
      <c r="D114" s="5">
        <f>表3_3[[#This Row],[星级]]^2*20000+20000*表3_3[[#This Row],[星级]]</f>
        <v>840000</v>
      </c>
      <c r="E114" s="5" t="str">
        <f>"["&amp;IF(表3_3[[#This Row],[星级]]=0,"","""w"&amp;500+表3_3[[#This Row],[皮肤id]]&amp;""","&amp;VLOOKUP(表3_3[[#This Row],[星级]],description!$C$1:$D$13,2,FALSE))&amp;"]"</f>
        <v>["w509",200]</v>
      </c>
      <c r="F11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["09z1","09z2",""]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0.02</v>
      </c>
      <c r="M114" s="5">
        <v>0</v>
      </c>
      <c r="N114" s="5">
        <v>0</v>
      </c>
      <c r="O114" s="5">
        <v>5.0000000000000001E-3</v>
      </c>
      <c r="P11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5" spans="1:16" x14ac:dyDescent="0.15">
      <c r="A115" s="5">
        <f t="shared" si="3"/>
        <v>9</v>
      </c>
      <c r="B115" s="5">
        <v>7</v>
      </c>
      <c r="C115" s="5">
        <f>MAX(VLOOKUP(表3_3[[#This Row],[皮肤id]],表1[[id]:[魅力]],15,FALSE),100)*(1+VLOOKUP(表3_3[[#This Row],[星级]],[2]魅力系统!$E$41:$F$53,2,FALSE))</f>
        <v>4725</v>
      </c>
      <c r="D115" s="5">
        <f>表3_3[[#This Row],[星级]]^2*20000+20000*表3_3[[#This Row],[星级]]</f>
        <v>1120000</v>
      </c>
      <c r="E115" s="5" t="str">
        <f>"["&amp;IF(表3_3[[#This Row],[星级]]=0,"","""w"&amp;500+表3_3[[#This Row],[皮肤id]]&amp;""","&amp;VLOOKUP(表3_3[[#This Row],[星级]],description!$C$1:$D$13,2,FALSE))&amp;"]"</f>
        <v>["w509",400]</v>
      </c>
      <c r="F11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["09z1","09z2",""]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0.02</v>
      </c>
      <c r="M115" s="5">
        <v>0</v>
      </c>
      <c r="N115" s="5">
        <v>0</v>
      </c>
      <c r="O115" s="5">
        <v>6.0000000000000001E-3</v>
      </c>
      <c r="P11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6" spans="1:16" x14ac:dyDescent="0.15">
      <c r="A116" s="5">
        <f t="shared" si="3"/>
        <v>9</v>
      </c>
      <c r="B116" s="5">
        <v>8</v>
      </c>
      <c r="C116" s="5">
        <f>MAX(VLOOKUP(表3_3[[#This Row],[皮肤id]],表1[[id]:[魅力]],15,FALSE),100)*(1+VLOOKUP(表3_3[[#This Row],[星级]],[2]魅力系统!$E$41:$F$53,2,FALSE))</f>
        <v>5250</v>
      </c>
      <c r="D116" s="5">
        <f>表3_3[[#This Row],[星级]]^2*20000+20000*表3_3[[#This Row],[星级]]</f>
        <v>1440000</v>
      </c>
      <c r="E116" s="5" t="str">
        <f>"["&amp;IF(表3_3[[#This Row],[星级]]=0,"","""w"&amp;500+表3_3[[#This Row],[皮肤id]]&amp;""","&amp;VLOOKUP(表3_3[[#This Row],[星级]],description!$C$1:$D$13,2,FALSE))&amp;"]"</f>
        <v>["w509",700]</v>
      </c>
      <c r="F11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["09z1","09z2","3jie"]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0.02</v>
      </c>
      <c r="M116" s="5">
        <v>0</v>
      </c>
      <c r="N116" s="5">
        <v>0</v>
      </c>
      <c r="O116" s="5">
        <v>6.0000000000000001E-3</v>
      </c>
      <c r="P11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7" spans="1:16" x14ac:dyDescent="0.15">
      <c r="A117" s="5">
        <f t="shared" si="3"/>
        <v>9</v>
      </c>
      <c r="B117" s="5">
        <v>9</v>
      </c>
      <c r="C117" s="5">
        <f>MAX(VLOOKUP(表3_3[[#This Row],[皮肤id]],表1[[id]:[魅力]],15,FALSE),100)*(1+VLOOKUP(表3_3[[#This Row],[星级]],[2]魅力系统!$E$41:$F$53,2,FALSE))</f>
        <v>6300</v>
      </c>
      <c r="D117" s="5">
        <f>表3_3[[#This Row],[星级]]^2*20000+20000*表3_3[[#This Row],[星级]]</f>
        <v>1800000</v>
      </c>
      <c r="E117" s="5" t="str">
        <f>"["&amp;IF(表3_3[[#This Row],[星级]]=0,"","""w"&amp;500+表3_3[[#This Row],[皮肤id]]&amp;""","&amp;VLOOKUP(表3_3[[#This Row],[星级]],description!$C$1:$D$13,2,FALSE))&amp;"]"</f>
        <v>["w509",1000]</v>
      </c>
      <c r="F11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["09z1","09z2","3jie"]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0.02</v>
      </c>
      <c r="M117" s="5">
        <v>0</v>
      </c>
      <c r="N117" s="5">
        <v>0</v>
      </c>
      <c r="O117" s="5">
        <v>8.0000000000000002E-3</v>
      </c>
      <c r="P11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8" spans="1:16" x14ac:dyDescent="0.15">
      <c r="A118" s="5">
        <f t="shared" si="3"/>
        <v>9</v>
      </c>
      <c r="B118" s="5">
        <v>10</v>
      </c>
      <c r="C118" s="5">
        <f>MAX(VLOOKUP(表3_3[[#This Row],[皮肤id]],表1[[id]:[魅力]],15,FALSE),100)*(1+VLOOKUP(表3_3[[#This Row],[星级]],[2]魅力系统!$E$41:$F$53,2,FALSE))</f>
        <v>7350</v>
      </c>
      <c r="D118" s="5">
        <f>表3_3[[#This Row],[星级]]^2*20000+20000*表3_3[[#This Row],[星级]]</f>
        <v>2200000</v>
      </c>
      <c r="E118" s="5" t="str">
        <f>"["&amp;IF(表3_3[[#This Row],[星级]]=0,"","""w"&amp;500+表3_3[[#This Row],[皮肤id]]&amp;""","&amp;VLOOKUP(表3_3[[#This Row],[星级]],description!$C$1:$D$13,2,FALSE))&amp;"]"</f>
        <v>["w509",1800]</v>
      </c>
      <c r="F11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["09z1","09z2","4jie"]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0.02</v>
      </c>
      <c r="M118" s="5">
        <v>0</v>
      </c>
      <c r="N118" s="5">
        <v>0</v>
      </c>
      <c r="O118" s="5">
        <v>8.0000000000000002E-3</v>
      </c>
      <c r="P11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19" spans="1:16" x14ac:dyDescent="0.15">
      <c r="A119" s="5">
        <f t="shared" si="3"/>
        <v>9</v>
      </c>
      <c r="B119" s="5">
        <v>11</v>
      </c>
      <c r="C119" s="5">
        <f>MAX(VLOOKUP(表3_3[[#This Row],[皮肤id]],表1[[id]:[魅力]],15,FALSE),100)*(1+VLOOKUP(表3_3[[#This Row],[星级]],[2]魅力系统!$E$41:$F$53,2,FALSE))</f>
        <v>8400</v>
      </c>
      <c r="D119" s="5">
        <f>表3_3[[#This Row],[星级]]^2*20000+20000*表3_3[[#This Row],[星级]]</f>
        <v>2640000</v>
      </c>
      <c r="E119" s="5" t="str">
        <f>"["&amp;IF(表3_3[[#This Row],[星级]]=0,"","""w"&amp;500+表3_3[[#This Row],[皮肤id]]&amp;""","&amp;VLOOKUP(表3_3[[#This Row],[星级]],description!$C$1:$D$13,2,FALSE))&amp;"]"</f>
        <v>["w509",2600]</v>
      </c>
      <c r="F11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["09z1","09z2","4jie"]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0.02</v>
      </c>
      <c r="M119" s="5">
        <v>0</v>
      </c>
      <c r="N119" s="5">
        <v>0</v>
      </c>
      <c r="O119" s="5">
        <v>0.01</v>
      </c>
      <c r="P11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0" spans="1:16" x14ac:dyDescent="0.15">
      <c r="A120" s="5">
        <f t="shared" si="3"/>
        <v>9</v>
      </c>
      <c r="B120" s="5">
        <v>12</v>
      </c>
      <c r="C120" s="5">
        <f>MAX(VLOOKUP(表3_3[[#This Row],[皮肤id]],表1[[id]:[魅力]],15,FALSE),100)*(1+VLOOKUP(表3_3[[#This Row],[星级]],[2]魅力系统!$E$41:$F$53,2,FALSE))</f>
        <v>9450</v>
      </c>
      <c r="D120" s="5">
        <f>表3_3[[#This Row],[星级]]^2*20000+20000*表3_3[[#This Row],[星级]]</f>
        <v>3120000</v>
      </c>
      <c r="E120" s="5" t="str">
        <f>"["&amp;IF(表3_3[[#This Row],[星级]]=0,"","""w"&amp;500+表3_3[[#This Row],[皮肤id]]&amp;""","&amp;VLOOKUP(表3_3[[#This Row],[星级]],description!$C$1:$D$13,2,FALSE))&amp;"]"</f>
        <v>["w509",3600]</v>
      </c>
      <c r="F12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["09z1","09z2","4jie"]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0.03</v>
      </c>
      <c r="M120" s="5">
        <v>0</v>
      </c>
      <c r="N120" s="5">
        <v>0</v>
      </c>
      <c r="O120" s="5">
        <v>0.01</v>
      </c>
      <c r="P12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1" spans="1:16" x14ac:dyDescent="0.15">
      <c r="A121" s="5">
        <f>A108+1</f>
        <v>10</v>
      </c>
      <c r="B121" s="5">
        <v>0</v>
      </c>
      <c r="C121" s="5">
        <f>MAX(VLOOKUP(表3_3[[#This Row],[皮肤id]],表1[[id]:[魅力]],15,FALSE),100)*(1+VLOOKUP(表3_3[[#This Row],[星级]],[2]魅力系统!$E$41:$F$53,2,FALSE))</f>
        <v>800</v>
      </c>
      <c r="D121" s="5">
        <f>表3_3[[#This Row],[星级]]^2*20000+20000*表3_3[[#This Row],[星级]]</f>
        <v>0</v>
      </c>
      <c r="E121" s="5" t="str">
        <f>"["&amp;IF(表3_3[[#This Row],[星级]]=0,"","""w"&amp;500+表3_3[[#This Row],[皮肤id]]&amp;""","&amp;VLOOKUP(表3_3[[#This Row],[星级]],description!$C$1:$D$13,2,FALSE))&amp;"]"</f>
        <v>[]</v>
      </c>
      <c r="F12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2" spans="1:16" x14ac:dyDescent="0.15">
      <c r="A122" s="5">
        <f t="shared" ref="A122:A133" si="4">A109+1</f>
        <v>10</v>
      </c>
      <c r="B122" s="5">
        <v>1</v>
      </c>
      <c r="C122" s="5">
        <f>MAX(VLOOKUP(表3_3[[#This Row],[皮肤id]],表1[[id]:[魅力]],15,FALSE),100)*(1+VLOOKUP(表3_3[[#This Row],[星级]],[2]魅力系统!$E$41:$F$53,2,FALSE))</f>
        <v>1200</v>
      </c>
      <c r="D122" s="5">
        <f>表3_3[[#This Row],[星级]]^2*20000+20000*表3_3[[#This Row],[星级]]</f>
        <v>40000</v>
      </c>
      <c r="E122" s="5" t="str">
        <f>"["&amp;IF(表3_3[[#This Row],[星级]]=0,"","""w"&amp;500+表3_3[[#This Row],[皮肤id]]&amp;""","&amp;VLOOKUP(表3_3[[#This Row],[星级]],description!$C$1:$D$13,2,FALSE))&amp;"]"</f>
        <v>["w510",10]</v>
      </c>
      <c r="F12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22" s="5">
        <v>0.02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3" spans="1:16" x14ac:dyDescent="0.15">
      <c r="A123" s="5">
        <f t="shared" si="4"/>
        <v>10</v>
      </c>
      <c r="B123" s="5">
        <v>2</v>
      </c>
      <c r="C123" s="5">
        <f>MAX(VLOOKUP(表3_3[[#This Row],[皮肤id]],表1[[id]:[魅力]],15,FALSE),100)*(1+VLOOKUP(表3_3[[#This Row],[星级]],[2]魅力系统!$E$41:$F$53,2,FALSE))</f>
        <v>1600</v>
      </c>
      <c r="D123" s="5">
        <f>表3_3[[#This Row],[星级]]^2*20000+20000*表3_3[[#This Row],[星级]]</f>
        <v>120000</v>
      </c>
      <c r="E123" s="5" t="str">
        <f>"["&amp;IF(表3_3[[#This Row],[星级]]=0,"","""w"&amp;500+表3_3[[#This Row],[皮肤id]]&amp;""","&amp;VLOOKUP(表3_3[[#This Row],[星级]],description!$C$1:$D$13,2,FALSE))&amp;"]"</f>
        <v>["w510",20]</v>
      </c>
      <c r="F12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["10z1","",""]</v>
      </c>
      <c r="G123" s="5">
        <v>0.02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5">
        <v>0</v>
      </c>
      <c r="P12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4" spans="1:16" x14ac:dyDescent="0.15">
      <c r="A124" s="5">
        <f t="shared" si="4"/>
        <v>10</v>
      </c>
      <c r="B124" s="5">
        <v>3</v>
      </c>
      <c r="C124" s="5">
        <f>MAX(VLOOKUP(表3_3[[#This Row],[皮肤id]],表1[[id]:[魅力]],15,FALSE),100)*(1+VLOOKUP(表3_3[[#This Row],[星级]],[2]魅力系统!$E$41:$F$53,2,FALSE))</f>
        <v>2000</v>
      </c>
      <c r="D124" s="5">
        <f>表3_3[[#This Row],[星级]]^2*20000+20000*表3_3[[#This Row],[星级]]</f>
        <v>240000</v>
      </c>
      <c r="E124" s="5" t="str">
        <f>"["&amp;IF(表3_3[[#This Row],[星级]]=0,"","""w"&amp;500+表3_3[[#This Row],[皮肤id]]&amp;""","&amp;VLOOKUP(表3_3[[#This Row],[星级]],description!$C$1:$D$13,2,FALSE))&amp;"]"</f>
        <v>["w510",40]</v>
      </c>
      <c r="F12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["10z1","",""]</v>
      </c>
      <c r="G124" s="5">
        <v>0.02</v>
      </c>
      <c r="H124" s="5">
        <v>0</v>
      </c>
      <c r="I124" s="5">
        <v>0</v>
      </c>
      <c r="J124" s="5">
        <v>0</v>
      </c>
      <c r="K124" s="5">
        <v>0.01</v>
      </c>
      <c r="L124" s="5">
        <v>0</v>
      </c>
      <c r="M124" s="5">
        <v>0</v>
      </c>
      <c r="N124" s="5">
        <v>0</v>
      </c>
      <c r="O124" s="5">
        <v>0</v>
      </c>
      <c r="P12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5" spans="1:16" x14ac:dyDescent="0.15">
      <c r="A125" s="5">
        <f t="shared" si="4"/>
        <v>10</v>
      </c>
      <c r="B125" s="5">
        <v>4</v>
      </c>
      <c r="C125" s="5">
        <f>MAX(VLOOKUP(表3_3[[#This Row],[皮肤id]],表1[[id]:[魅力]],15,FALSE),100)*(1+VLOOKUP(表3_3[[#This Row],[星级]],[2]魅力系统!$E$41:$F$53,2,FALSE))</f>
        <v>2400</v>
      </c>
      <c r="D125" s="5">
        <f>表3_3[[#This Row],[星级]]^2*20000+20000*表3_3[[#This Row],[星级]]</f>
        <v>400000</v>
      </c>
      <c r="E125" s="5" t="str">
        <f>"["&amp;IF(表3_3[[#This Row],[星级]]=0,"","""w"&amp;500+表3_3[[#This Row],[皮肤id]]&amp;""","&amp;VLOOKUP(表3_3[[#This Row],[星级]],description!$C$1:$D$13,2,FALSE))&amp;"]"</f>
        <v>["w510",60]</v>
      </c>
      <c r="F12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["10z1","",""]</v>
      </c>
      <c r="G125" s="5">
        <v>0.04</v>
      </c>
      <c r="H125" s="5">
        <v>0</v>
      </c>
      <c r="I125" s="5">
        <v>0</v>
      </c>
      <c r="J125" s="5">
        <v>0</v>
      </c>
      <c r="K125" s="5">
        <v>0.01</v>
      </c>
      <c r="L125" s="5">
        <v>0</v>
      </c>
      <c r="M125" s="5">
        <v>0</v>
      </c>
      <c r="N125" s="5">
        <v>0</v>
      </c>
      <c r="O125" s="5">
        <v>0</v>
      </c>
      <c r="P12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6" spans="1:16" x14ac:dyDescent="0.15">
      <c r="A126" s="5">
        <f t="shared" si="4"/>
        <v>10</v>
      </c>
      <c r="B126" s="5">
        <v>5</v>
      </c>
      <c r="C126" s="5">
        <f>MAX(VLOOKUP(表3_3[[#This Row],[皮肤id]],表1[[id]:[魅力]],15,FALSE),100)*(1+VLOOKUP(表3_3[[#This Row],[星级]],[2]魅力系统!$E$41:$F$53,2,FALSE))</f>
        <v>2800</v>
      </c>
      <c r="D126" s="5">
        <f>表3_3[[#This Row],[星级]]^2*20000+20000*表3_3[[#This Row],[星级]]</f>
        <v>600000</v>
      </c>
      <c r="E126" s="5" t="str">
        <f>"["&amp;IF(表3_3[[#This Row],[星级]]=0,"","""w"&amp;500+表3_3[[#This Row],[皮肤id]]&amp;""","&amp;VLOOKUP(表3_3[[#This Row],[星级]],description!$C$1:$D$13,2,FALSE))&amp;"]"</f>
        <v>["w510",100]</v>
      </c>
      <c r="F12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["10z1","10z2",""]</v>
      </c>
      <c r="G126" s="5">
        <v>0.04</v>
      </c>
      <c r="H126" s="5">
        <v>0</v>
      </c>
      <c r="I126" s="5">
        <v>0</v>
      </c>
      <c r="J126" s="5">
        <v>0</v>
      </c>
      <c r="K126" s="5">
        <v>0.01</v>
      </c>
      <c r="L126" s="5">
        <v>0</v>
      </c>
      <c r="M126" s="5">
        <v>0</v>
      </c>
      <c r="N126" s="5">
        <v>0</v>
      </c>
      <c r="O126" s="5">
        <v>0</v>
      </c>
      <c r="P12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7" spans="1:16" x14ac:dyDescent="0.15">
      <c r="A127" s="5">
        <f t="shared" si="4"/>
        <v>10</v>
      </c>
      <c r="B127" s="5">
        <v>6</v>
      </c>
      <c r="C127" s="5">
        <f>MAX(VLOOKUP(表3_3[[#This Row],[皮肤id]],表1[[id]:[魅力]],15,FALSE),100)*(1+VLOOKUP(表3_3[[#This Row],[星级]],[2]魅力系统!$E$41:$F$53,2,FALSE))</f>
        <v>3200</v>
      </c>
      <c r="D127" s="5">
        <f>表3_3[[#This Row],[星级]]^2*20000+20000*表3_3[[#This Row],[星级]]</f>
        <v>840000</v>
      </c>
      <c r="E127" s="5" t="str">
        <f>"["&amp;IF(表3_3[[#This Row],[星级]]=0,"","""w"&amp;500+表3_3[[#This Row],[皮肤id]]&amp;""","&amp;VLOOKUP(表3_3[[#This Row],[星级]],description!$C$1:$D$13,2,FALSE))&amp;"]"</f>
        <v>["w510",200]</v>
      </c>
      <c r="F12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["10z1","10z2",""]</v>
      </c>
      <c r="G127" s="5">
        <v>0.04</v>
      </c>
      <c r="H127" s="5">
        <v>0</v>
      </c>
      <c r="I127" s="5">
        <v>0</v>
      </c>
      <c r="J127" s="5">
        <v>0</v>
      </c>
      <c r="K127" s="5">
        <v>0.02</v>
      </c>
      <c r="L127" s="5">
        <v>0</v>
      </c>
      <c r="M127" s="5">
        <v>0</v>
      </c>
      <c r="N127" s="5">
        <v>0</v>
      </c>
      <c r="O127" s="5">
        <v>0</v>
      </c>
      <c r="P12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8" spans="1:16" x14ac:dyDescent="0.15">
      <c r="A128" s="5">
        <f t="shared" si="4"/>
        <v>10</v>
      </c>
      <c r="B128" s="5">
        <v>7</v>
      </c>
      <c r="C128" s="5">
        <f>MAX(VLOOKUP(表3_3[[#This Row],[皮肤id]],表1[[id]:[魅力]],15,FALSE),100)*(1+VLOOKUP(表3_3[[#This Row],[星级]],[2]魅力系统!$E$41:$F$53,2,FALSE))</f>
        <v>3600</v>
      </c>
      <c r="D128" s="5">
        <f>表3_3[[#This Row],[星级]]^2*20000+20000*表3_3[[#This Row],[星级]]</f>
        <v>1120000</v>
      </c>
      <c r="E128" s="5" t="str">
        <f>"["&amp;IF(表3_3[[#This Row],[星级]]=0,"","""w"&amp;500+表3_3[[#This Row],[皮肤id]]&amp;""","&amp;VLOOKUP(表3_3[[#This Row],[星级]],description!$C$1:$D$13,2,FALSE))&amp;"]"</f>
        <v>["w510",400]</v>
      </c>
      <c r="F12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["10z1","10z2",""]</v>
      </c>
      <c r="G128" s="5">
        <v>0.06</v>
      </c>
      <c r="H128" s="5">
        <v>0</v>
      </c>
      <c r="I128" s="5">
        <v>0</v>
      </c>
      <c r="J128" s="5">
        <v>0</v>
      </c>
      <c r="K128" s="5">
        <v>0.02</v>
      </c>
      <c r="L128" s="5">
        <v>0</v>
      </c>
      <c r="M128" s="5">
        <v>0</v>
      </c>
      <c r="N128" s="5">
        <v>0</v>
      </c>
      <c r="O128" s="5">
        <v>0</v>
      </c>
      <c r="P12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9" spans="1:16" x14ac:dyDescent="0.15">
      <c r="A129" s="5">
        <f t="shared" si="4"/>
        <v>10</v>
      </c>
      <c r="B129" s="5">
        <v>8</v>
      </c>
      <c r="C129" s="5">
        <f>MAX(VLOOKUP(表3_3[[#This Row],[皮肤id]],表1[[id]:[魅力]],15,FALSE),100)*(1+VLOOKUP(表3_3[[#This Row],[星级]],[2]魅力系统!$E$41:$F$53,2,FALSE))</f>
        <v>4000</v>
      </c>
      <c r="D129" s="5">
        <f>表3_3[[#This Row],[星级]]^2*20000+20000*表3_3[[#This Row],[星级]]</f>
        <v>1440000</v>
      </c>
      <c r="E129" s="5" t="str">
        <f>"["&amp;IF(表3_3[[#This Row],[星级]]=0,"","""w"&amp;500+表3_3[[#This Row],[皮肤id]]&amp;""","&amp;VLOOKUP(表3_3[[#This Row],[星级]],description!$C$1:$D$13,2,FALSE))&amp;"]"</f>
        <v>["w510",700]</v>
      </c>
      <c r="F12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["10z1","10z2","3jie"]</v>
      </c>
      <c r="G129" s="5">
        <v>0.06</v>
      </c>
      <c r="H129" s="5">
        <v>0</v>
      </c>
      <c r="I129" s="5">
        <v>0</v>
      </c>
      <c r="J129" s="5">
        <v>0</v>
      </c>
      <c r="K129" s="5">
        <v>0.02</v>
      </c>
      <c r="L129" s="5">
        <v>0</v>
      </c>
      <c r="M129" s="5">
        <v>0</v>
      </c>
      <c r="N129" s="5">
        <v>0</v>
      </c>
      <c r="O129" s="5">
        <v>0</v>
      </c>
      <c r="P12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0" spans="1:16" x14ac:dyDescent="0.15">
      <c r="A130" s="5">
        <f t="shared" si="4"/>
        <v>10</v>
      </c>
      <c r="B130" s="5">
        <v>9</v>
      </c>
      <c r="C130" s="5">
        <f>MAX(VLOOKUP(表3_3[[#This Row],[皮肤id]],表1[[id]:[魅力]],15,FALSE),100)*(1+VLOOKUP(表3_3[[#This Row],[星级]],[2]魅力系统!$E$41:$F$53,2,FALSE))</f>
        <v>4800</v>
      </c>
      <c r="D130" s="5">
        <f>表3_3[[#This Row],[星级]]^2*20000+20000*表3_3[[#This Row],[星级]]</f>
        <v>1800000</v>
      </c>
      <c r="E130" s="5" t="str">
        <f>"["&amp;IF(表3_3[[#This Row],[星级]]=0,"","""w"&amp;500+表3_3[[#This Row],[皮肤id]]&amp;""","&amp;VLOOKUP(表3_3[[#This Row],[星级]],description!$C$1:$D$13,2,FALSE))&amp;"]"</f>
        <v>["w510",1000]</v>
      </c>
      <c r="F13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["10z1","10z2","3jie"]</v>
      </c>
      <c r="G130" s="5">
        <v>0.08</v>
      </c>
      <c r="H130" s="5">
        <v>0</v>
      </c>
      <c r="I130" s="5">
        <v>0</v>
      </c>
      <c r="J130" s="5">
        <v>0</v>
      </c>
      <c r="K130" s="5">
        <v>0.02</v>
      </c>
      <c r="L130" s="5">
        <v>0</v>
      </c>
      <c r="M130" s="5">
        <v>0</v>
      </c>
      <c r="N130" s="5">
        <v>0</v>
      </c>
      <c r="O130" s="5">
        <v>0</v>
      </c>
      <c r="P13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1" spans="1:16" x14ac:dyDescent="0.15">
      <c r="A131" s="5">
        <f t="shared" si="4"/>
        <v>10</v>
      </c>
      <c r="B131" s="5">
        <v>10</v>
      </c>
      <c r="C131" s="5">
        <f>MAX(VLOOKUP(表3_3[[#This Row],[皮肤id]],表1[[id]:[魅力]],15,FALSE),100)*(1+VLOOKUP(表3_3[[#This Row],[星级]],[2]魅力系统!$E$41:$F$53,2,FALSE))</f>
        <v>5600</v>
      </c>
      <c r="D131" s="5">
        <f>表3_3[[#This Row],[星级]]^2*20000+20000*表3_3[[#This Row],[星级]]</f>
        <v>2200000</v>
      </c>
      <c r="E131" s="5" t="str">
        <f>"["&amp;IF(表3_3[[#This Row],[星级]]=0,"","""w"&amp;500+表3_3[[#This Row],[皮肤id]]&amp;""","&amp;VLOOKUP(表3_3[[#This Row],[星级]],description!$C$1:$D$13,2,FALSE))&amp;"]"</f>
        <v>["w510",1800]</v>
      </c>
      <c r="F13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["10z1","10z2","4jie"]</v>
      </c>
      <c r="G131" s="5">
        <v>0.08</v>
      </c>
      <c r="H131" s="5">
        <v>0</v>
      </c>
      <c r="I131" s="5">
        <v>0</v>
      </c>
      <c r="J131" s="5">
        <v>0</v>
      </c>
      <c r="K131" s="5">
        <v>0.02</v>
      </c>
      <c r="L131" s="5">
        <v>0</v>
      </c>
      <c r="M131" s="5">
        <v>0</v>
      </c>
      <c r="N131" s="5">
        <v>0</v>
      </c>
      <c r="O131" s="5">
        <v>0</v>
      </c>
      <c r="P13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2" spans="1:16" x14ac:dyDescent="0.15">
      <c r="A132" s="5">
        <f t="shared" si="4"/>
        <v>10</v>
      </c>
      <c r="B132" s="5">
        <v>11</v>
      </c>
      <c r="C132" s="5">
        <f>MAX(VLOOKUP(表3_3[[#This Row],[皮肤id]],表1[[id]:[魅力]],15,FALSE),100)*(1+VLOOKUP(表3_3[[#This Row],[星级]],[2]魅力系统!$E$41:$F$53,2,FALSE))</f>
        <v>6400</v>
      </c>
      <c r="D132" s="5">
        <f>表3_3[[#This Row],[星级]]^2*20000+20000*表3_3[[#This Row],[星级]]</f>
        <v>2640000</v>
      </c>
      <c r="E132" s="5" t="str">
        <f>"["&amp;IF(表3_3[[#This Row],[星级]]=0,"","""w"&amp;500+表3_3[[#This Row],[皮肤id]]&amp;""","&amp;VLOOKUP(表3_3[[#This Row],[星级]],description!$C$1:$D$13,2,FALSE))&amp;"]"</f>
        <v>["w510",2600]</v>
      </c>
      <c r="F13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["10z1","10z2","4jie"]</v>
      </c>
      <c r="G132" s="5">
        <v>0.1</v>
      </c>
      <c r="H132" s="5">
        <v>0</v>
      </c>
      <c r="I132" s="5">
        <v>0</v>
      </c>
      <c r="J132" s="5">
        <v>0</v>
      </c>
      <c r="K132" s="5">
        <v>0.02</v>
      </c>
      <c r="L132" s="5">
        <v>0</v>
      </c>
      <c r="M132" s="5">
        <v>0</v>
      </c>
      <c r="N132" s="5">
        <v>0</v>
      </c>
      <c r="O132" s="5">
        <v>0</v>
      </c>
      <c r="P13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3" spans="1:16" x14ac:dyDescent="0.15">
      <c r="A133" s="5">
        <f t="shared" si="4"/>
        <v>10</v>
      </c>
      <c r="B133" s="5">
        <v>12</v>
      </c>
      <c r="C133" s="5">
        <f>MAX(VLOOKUP(表3_3[[#This Row],[皮肤id]],表1[[id]:[魅力]],15,FALSE),100)*(1+VLOOKUP(表3_3[[#This Row],[星级]],[2]魅力系统!$E$41:$F$53,2,FALSE))</f>
        <v>7200</v>
      </c>
      <c r="D133" s="5">
        <f>表3_3[[#This Row],[星级]]^2*20000+20000*表3_3[[#This Row],[星级]]</f>
        <v>3120000</v>
      </c>
      <c r="E133" s="5" t="str">
        <f>"["&amp;IF(表3_3[[#This Row],[星级]]=0,"","""w"&amp;500+表3_3[[#This Row],[皮肤id]]&amp;""","&amp;VLOOKUP(表3_3[[#This Row],[星级]],description!$C$1:$D$13,2,FALSE))&amp;"]"</f>
        <v>["w510",3600]</v>
      </c>
      <c r="F13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["10z1","10z2","4jie"]</v>
      </c>
      <c r="G133" s="5">
        <v>0.1</v>
      </c>
      <c r="H133" s="5">
        <v>0</v>
      </c>
      <c r="I133" s="5">
        <v>0</v>
      </c>
      <c r="J133" s="5">
        <v>0</v>
      </c>
      <c r="K133" s="5">
        <v>0.03</v>
      </c>
      <c r="L133" s="5">
        <v>0</v>
      </c>
      <c r="M133" s="5">
        <v>0</v>
      </c>
      <c r="N133" s="5">
        <v>0</v>
      </c>
      <c r="O133" s="5">
        <v>0</v>
      </c>
      <c r="P13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4" spans="1:16" x14ac:dyDescent="0.15">
      <c r="A134" s="5">
        <f>A121+1</f>
        <v>11</v>
      </c>
      <c r="B134" s="5">
        <v>0</v>
      </c>
      <c r="C134" s="5">
        <f>MAX(VLOOKUP(表3_3[[#This Row],[皮肤id]],表1[[id]:[魅力]],15,FALSE),100)*(1+VLOOKUP(表3_3[[#This Row],[星级]],[2]魅力系统!$E$41:$F$53,2,FALSE))</f>
        <v>1100</v>
      </c>
      <c r="D134" s="5">
        <f>表3_3[[#This Row],[星级]]^2*20000+20000*表3_3[[#This Row],[星级]]</f>
        <v>0</v>
      </c>
      <c r="E134" s="5" t="str">
        <f>"["&amp;IF(表3_3[[#This Row],[星级]]=0,"","""w"&amp;500+表3_3[[#This Row],[皮肤id]]&amp;""","&amp;VLOOKUP(表3_3[[#This Row],[星级]],description!$C$1:$D$13,2,FALSE))&amp;"]"</f>
        <v>[]</v>
      </c>
      <c r="F13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5" spans="1:16" x14ac:dyDescent="0.15">
      <c r="A135" s="5">
        <f t="shared" ref="A135:A146" si="5">A122+1</f>
        <v>11</v>
      </c>
      <c r="B135" s="5">
        <v>1</v>
      </c>
      <c r="C135" s="5">
        <f>MAX(VLOOKUP(表3_3[[#This Row],[皮肤id]],表1[[id]:[魅力]],15,FALSE),100)*(1+VLOOKUP(表3_3[[#This Row],[星级]],[2]魅力系统!$E$41:$F$53,2,FALSE))</f>
        <v>1650</v>
      </c>
      <c r="D135" s="5">
        <f>表3_3[[#This Row],[星级]]^2*20000+20000*表3_3[[#This Row],[星级]]</f>
        <v>40000</v>
      </c>
      <c r="E135" s="5" t="str">
        <f>"["&amp;IF(表3_3[[#This Row],[星级]]=0,"","""w"&amp;500+表3_3[[#This Row],[皮肤id]]&amp;""","&amp;VLOOKUP(表3_3[[#This Row],[星级]],description!$C$1:$D$13,2,FALSE))&amp;"]"</f>
        <v>["w511",10]</v>
      </c>
      <c r="F13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35" s="5">
        <v>0.01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6" spans="1:16" x14ac:dyDescent="0.15">
      <c r="A136" s="5">
        <f t="shared" si="5"/>
        <v>11</v>
      </c>
      <c r="B136" s="5">
        <v>2</v>
      </c>
      <c r="C136" s="5">
        <f>MAX(VLOOKUP(表3_3[[#This Row],[皮肤id]],表1[[id]:[魅力]],15,FALSE),100)*(1+VLOOKUP(表3_3[[#This Row],[星级]],[2]魅力系统!$E$41:$F$53,2,FALSE))</f>
        <v>2200</v>
      </c>
      <c r="D136" s="5">
        <f>表3_3[[#This Row],[星级]]^2*20000+20000*表3_3[[#This Row],[星级]]</f>
        <v>120000</v>
      </c>
      <c r="E136" s="5" t="str">
        <f>"["&amp;IF(表3_3[[#This Row],[星级]]=0,"","""w"&amp;500+表3_3[[#This Row],[皮肤id]]&amp;""","&amp;VLOOKUP(表3_3[[#This Row],[星级]],description!$C$1:$D$13,2,FALSE))&amp;"]"</f>
        <v>["w511",20]</v>
      </c>
      <c r="F13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["11z1","",""]</v>
      </c>
      <c r="G136" s="5">
        <v>0.01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7" spans="1:16" x14ac:dyDescent="0.15">
      <c r="A137" s="5">
        <f t="shared" si="5"/>
        <v>11</v>
      </c>
      <c r="B137" s="5">
        <v>3</v>
      </c>
      <c r="C137" s="5">
        <f>MAX(VLOOKUP(表3_3[[#This Row],[皮肤id]],表1[[id]:[魅力]],15,FALSE),100)*(1+VLOOKUP(表3_3[[#This Row],[星级]],[2]魅力系统!$E$41:$F$53,2,FALSE))</f>
        <v>2750</v>
      </c>
      <c r="D137" s="5">
        <f>表3_3[[#This Row],[星级]]^2*20000+20000*表3_3[[#This Row],[星级]]</f>
        <v>240000</v>
      </c>
      <c r="E137" s="5" t="str">
        <f>"["&amp;IF(表3_3[[#This Row],[星级]]=0,"","""w"&amp;500+表3_3[[#This Row],[皮肤id]]&amp;""","&amp;VLOOKUP(表3_3[[#This Row],[星级]],description!$C$1:$D$13,2,FALSE))&amp;"]"</f>
        <v>["w511",40]</v>
      </c>
      <c r="F13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["11z1","",""]</v>
      </c>
      <c r="G137" s="5">
        <v>0.01</v>
      </c>
      <c r="H137" s="5">
        <v>0</v>
      </c>
      <c r="I137" s="5">
        <v>0</v>
      </c>
      <c r="J137" s="5">
        <v>0.01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8" spans="1:16" x14ac:dyDescent="0.15">
      <c r="A138" s="5">
        <f t="shared" si="5"/>
        <v>11</v>
      </c>
      <c r="B138" s="5">
        <v>4</v>
      </c>
      <c r="C138" s="5">
        <f>MAX(VLOOKUP(表3_3[[#This Row],[皮肤id]],表1[[id]:[魅力]],15,FALSE),100)*(1+VLOOKUP(表3_3[[#This Row],[星级]],[2]魅力系统!$E$41:$F$53,2,FALSE))</f>
        <v>3300</v>
      </c>
      <c r="D138" s="5">
        <f>表3_3[[#This Row],[星级]]^2*20000+20000*表3_3[[#This Row],[星级]]</f>
        <v>400000</v>
      </c>
      <c r="E138" s="5" t="str">
        <f>"["&amp;IF(表3_3[[#This Row],[星级]]=0,"","""w"&amp;500+表3_3[[#This Row],[皮肤id]]&amp;""","&amp;VLOOKUP(表3_3[[#This Row],[星级]],description!$C$1:$D$13,2,FALSE))&amp;"]"</f>
        <v>["w511",60]</v>
      </c>
      <c r="F13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["11z1","",""]</v>
      </c>
      <c r="G138" s="5">
        <v>0.02</v>
      </c>
      <c r="H138" s="5">
        <v>0</v>
      </c>
      <c r="I138" s="5">
        <v>0</v>
      </c>
      <c r="J138" s="5">
        <v>0.01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9" spans="1:16" x14ac:dyDescent="0.15">
      <c r="A139" s="5">
        <f t="shared" si="5"/>
        <v>11</v>
      </c>
      <c r="B139" s="5">
        <v>5</v>
      </c>
      <c r="C139" s="5">
        <f>MAX(VLOOKUP(表3_3[[#This Row],[皮肤id]],表1[[id]:[魅力]],15,FALSE),100)*(1+VLOOKUP(表3_3[[#This Row],[星级]],[2]魅力系统!$E$41:$F$53,2,FALSE))</f>
        <v>3850</v>
      </c>
      <c r="D139" s="5">
        <f>表3_3[[#This Row],[星级]]^2*20000+20000*表3_3[[#This Row],[星级]]</f>
        <v>600000</v>
      </c>
      <c r="E139" s="5" t="str">
        <f>"["&amp;IF(表3_3[[#This Row],[星级]]=0,"","""w"&amp;500+表3_3[[#This Row],[皮肤id]]&amp;""","&amp;VLOOKUP(表3_3[[#This Row],[星级]],description!$C$1:$D$13,2,FALSE))&amp;"]"</f>
        <v>["w511",100]</v>
      </c>
      <c r="F13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["11z1","11z2",""]</v>
      </c>
      <c r="G139" s="5">
        <v>0.02</v>
      </c>
      <c r="H139" s="5">
        <v>0</v>
      </c>
      <c r="I139" s="5">
        <v>0</v>
      </c>
      <c r="J139" s="5">
        <v>0.01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0" spans="1:16" x14ac:dyDescent="0.15">
      <c r="A140" s="5">
        <f t="shared" si="5"/>
        <v>11</v>
      </c>
      <c r="B140" s="5">
        <v>6</v>
      </c>
      <c r="C140" s="5">
        <f>MAX(VLOOKUP(表3_3[[#This Row],[皮肤id]],表1[[id]:[魅力]],15,FALSE),100)*(1+VLOOKUP(表3_3[[#This Row],[星级]],[2]魅力系统!$E$41:$F$53,2,FALSE))</f>
        <v>4400</v>
      </c>
      <c r="D140" s="5">
        <f>表3_3[[#This Row],[星级]]^2*20000+20000*表3_3[[#This Row],[星级]]</f>
        <v>840000</v>
      </c>
      <c r="E140" s="5" t="str">
        <f>"["&amp;IF(表3_3[[#This Row],[星级]]=0,"","""w"&amp;500+表3_3[[#This Row],[皮肤id]]&amp;""","&amp;VLOOKUP(表3_3[[#This Row],[星级]],description!$C$1:$D$13,2,FALSE))&amp;"]"</f>
        <v>["w511",200]</v>
      </c>
      <c r="F14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["11z1","11z2",""]</v>
      </c>
      <c r="G140" s="5">
        <v>0.02</v>
      </c>
      <c r="H140" s="5">
        <v>0</v>
      </c>
      <c r="I140" s="5">
        <v>0</v>
      </c>
      <c r="J140" s="5">
        <v>0.02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1" spans="1:16" x14ac:dyDescent="0.15">
      <c r="A141" s="5">
        <f t="shared" si="5"/>
        <v>11</v>
      </c>
      <c r="B141" s="5">
        <v>7</v>
      </c>
      <c r="C141" s="5">
        <f>MAX(VLOOKUP(表3_3[[#This Row],[皮肤id]],表1[[id]:[魅力]],15,FALSE),100)*(1+VLOOKUP(表3_3[[#This Row],[星级]],[2]魅力系统!$E$41:$F$53,2,FALSE))</f>
        <v>4950</v>
      </c>
      <c r="D141" s="5">
        <f>表3_3[[#This Row],[星级]]^2*20000+20000*表3_3[[#This Row],[星级]]</f>
        <v>1120000</v>
      </c>
      <c r="E141" s="5" t="str">
        <f>"["&amp;IF(表3_3[[#This Row],[星级]]=0,"","""w"&amp;500+表3_3[[#This Row],[皮肤id]]&amp;""","&amp;VLOOKUP(表3_3[[#This Row],[星级]],description!$C$1:$D$13,2,FALSE))&amp;"]"</f>
        <v>["w511",400]</v>
      </c>
      <c r="F14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["11z1","11z2",""]</v>
      </c>
      <c r="G141" s="5">
        <v>0.03</v>
      </c>
      <c r="H141" s="5">
        <v>0</v>
      </c>
      <c r="I141" s="5">
        <v>0</v>
      </c>
      <c r="J141" s="5">
        <v>0.02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2" spans="1:16" x14ac:dyDescent="0.15">
      <c r="A142" s="5">
        <f t="shared" si="5"/>
        <v>11</v>
      </c>
      <c r="B142" s="5">
        <v>8</v>
      </c>
      <c r="C142" s="5">
        <f>MAX(VLOOKUP(表3_3[[#This Row],[皮肤id]],表1[[id]:[魅力]],15,FALSE),100)*(1+VLOOKUP(表3_3[[#This Row],[星级]],[2]魅力系统!$E$41:$F$53,2,FALSE))</f>
        <v>5500</v>
      </c>
      <c r="D142" s="5">
        <f>表3_3[[#This Row],[星级]]^2*20000+20000*表3_3[[#This Row],[星级]]</f>
        <v>1440000</v>
      </c>
      <c r="E142" s="5" t="str">
        <f>"["&amp;IF(表3_3[[#This Row],[星级]]=0,"","""w"&amp;500+表3_3[[#This Row],[皮肤id]]&amp;""","&amp;VLOOKUP(表3_3[[#This Row],[星级]],description!$C$1:$D$13,2,FALSE))&amp;"]"</f>
        <v>["w511",700]</v>
      </c>
      <c r="F14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["11z1","11z2","3jie"]</v>
      </c>
      <c r="G142" s="5">
        <v>0.03</v>
      </c>
      <c r="H142" s="5">
        <v>0</v>
      </c>
      <c r="I142" s="5">
        <v>0</v>
      </c>
      <c r="J142" s="5">
        <v>0.02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3" spans="1:16" x14ac:dyDescent="0.15">
      <c r="A143" s="5">
        <f t="shared" si="5"/>
        <v>11</v>
      </c>
      <c r="B143" s="5">
        <v>9</v>
      </c>
      <c r="C143" s="5">
        <f>MAX(VLOOKUP(表3_3[[#This Row],[皮肤id]],表1[[id]:[魅力]],15,FALSE),100)*(1+VLOOKUP(表3_3[[#This Row],[星级]],[2]魅力系统!$E$41:$F$53,2,FALSE))</f>
        <v>6600</v>
      </c>
      <c r="D143" s="5">
        <f>表3_3[[#This Row],[星级]]^2*20000+20000*表3_3[[#This Row],[星级]]</f>
        <v>1800000</v>
      </c>
      <c r="E143" s="5" t="str">
        <f>"["&amp;IF(表3_3[[#This Row],[星级]]=0,"","""w"&amp;500+表3_3[[#This Row],[皮肤id]]&amp;""","&amp;VLOOKUP(表3_3[[#This Row],[星级]],description!$C$1:$D$13,2,FALSE))&amp;"]"</f>
        <v>["w511",1000]</v>
      </c>
      <c r="F14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["11z1","11z2","3jie"]</v>
      </c>
      <c r="G143" s="5">
        <v>0.04</v>
      </c>
      <c r="H143" s="5">
        <v>0</v>
      </c>
      <c r="I143" s="5">
        <v>0</v>
      </c>
      <c r="J143" s="5">
        <v>0.02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4" spans="1:16" x14ac:dyDescent="0.15">
      <c r="A144" s="5">
        <f t="shared" si="5"/>
        <v>11</v>
      </c>
      <c r="B144" s="5">
        <v>10</v>
      </c>
      <c r="C144" s="5">
        <f>MAX(VLOOKUP(表3_3[[#This Row],[皮肤id]],表1[[id]:[魅力]],15,FALSE),100)*(1+VLOOKUP(表3_3[[#This Row],[星级]],[2]魅力系统!$E$41:$F$53,2,FALSE))</f>
        <v>7700</v>
      </c>
      <c r="D144" s="5">
        <f>表3_3[[#This Row],[星级]]^2*20000+20000*表3_3[[#This Row],[星级]]</f>
        <v>2200000</v>
      </c>
      <c r="E144" s="5" t="str">
        <f>"["&amp;IF(表3_3[[#This Row],[星级]]=0,"","""w"&amp;500+表3_3[[#This Row],[皮肤id]]&amp;""","&amp;VLOOKUP(表3_3[[#This Row],[星级]],description!$C$1:$D$13,2,FALSE))&amp;"]"</f>
        <v>["w511",1800]</v>
      </c>
      <c r="F14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["11z1","11z2","4jie"]</v>
      </c>
      <c r="G144" s="5">
        <v>0.04</v>
      </c>
      <c r="H144" s="5">
        <v>0</v>
      </c>
      <c r="I144" s="5">
        <v>0</v>
      </c>
      <c r="J144" s="5">
        <v>0.02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5" spans="1:16" x14ac:dyDescent="0.15">
      <c r="A145" s="5">
        <f t="shared" si="5"/>
        <v>11</v>
      </c>
      <c r="B145" s="5">
        <v>11</v>
      </c>
      <c r="C145" s="5">
        <f>MAX(VLOOKUP(表3_3[[#This Row],[皮肤id]],表1[[id]:[魅力]],15,FALSE),100)*(1+VLOOKUP(表3_3[[#This Row],[星级]],[2]魅力系统!$E$41:$F$53,2,FALSE))</f>
        <v>8800</v>
      </c>
      <c r="D145" s="5">
        <f>表3_3[[#This Row],[星级]]^2*20000+20000*表3_3[[#This Row],[星级]]</f>
        <v>2640000</v>
      </c>
      <c r="E145" s="5" t="str">
        <f>"["&amp;IF(表3_3[[#This Row],[星级]]=0,"","""w"&amp;500+表3_3[[#This Row],[皮肤id]]&amp;""","&amp;VLOOKUP(表3_3[[#This Row],[星级]],description!$C$1:$D$13,2,FALSE))&amp;"]"</f>
        <v>["w511",2600]</v>
      </c>
      <c r="F14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["11z1","11z2","4jie"]</v>
      </c>
      <c r="G145" s="5">
        <v>0.05</v>
      </c>
      <c r="H145" s="5">
        <v>0</v>
      </c>
      <c r="I145" s="5">
        <v>0</v>
      </c>
      <c r="J145" s="5">
        <v>0.02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6" spans="1:16" x14ac:dyDescent="0.15">
      <c r="A146" s="5">
        <f t="shared" si="5"/>
        <v>11</v>
      </c>
      <c r="B146" s="5">
        <v>12</v>
      </c>
      <c r="C146" s="5">
        <f>MAX(VLOOKUP(表3_3[[#This Row],[皮肤id]],表1[[id]:[魅力]],15,FALSE),100)*(1+VLOOKUP(表3_3[[#This Row],[星级]],[2]魅力系统!$E$41:$F$53,2,FALSE))</f>
        <v>9900</v>
      </c>
      <c r="D146" s="5">
        <f>表3_3[[#This Row],[星级]]^2*20000+20000*表3_3[[#This Row],[星级]]</f>
        <v>3120000</v>
      </c>
      <c r="E146" s="5" t="str">
        <f>"["&amp;IF(表3_3[[#This Row],[星级]]=0,"","""w"&amp;500+表3_3[[#This Row],[皮肤id]]&amp;""","&amp;VLOOKUP(表3_3[[#This Row],[星级]],description!$C$1:$D$13,2,FALSE))&amp;"]"</f>
        <v>["w511",3600]</v>
      </c>
      <c r="F14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["11z1","11z2","4jie"]</v>
      </c>
      <c r="G146" s="5">
        <v>0.05</v>
      </c>
      <c r="H146" s="5">
        <v>0</v>
      </c>
      <c r="I146" s="5">
        <v>0</v>
      </c>
      <c r="J146" s="5">
        <v>0.03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7" spans="1:16" x14ac:dyDescent="0.15">
      <c r="A147" s="5">
        <f>A134+1</f>
        <v>12</v>
      </c>
      <c r="B147" s="5">
        <v>0</v>
      </c>
      <c r="C147" s="5">
        <f>MAX(VLOOKUP(表3_3[[#This Row],[皮肤id]],表1[[id]:[魅力]],15,FALSE),100)*(1+VLOOKUP(表3_3[[#This Row],[星级]],[2]魅力系统!$E$41:$F$53,2,FALSE))</f>
        <v>1300</v>
      </c>
      <c r="D147" s="5">
        <f>表3_3[[#This Row],[星级]]^2*20000+20000*表3_3[[#This Row],[星级]]</f>
        <v>0</v>
      </c>
      <c r="E147" s="5" t="str">
        <f>"["&amp;IF(表3_3[[#This Row],[星级]]=0,"","""w"&amp;500+表3_3[[#This Row],[皮肤id]]&amp;""","&amp;VLOOKUP(表3_3[[#This Row],[星级]],description!$C$1:$D$13,2,FALSE))&amp;"]"</f>
        <v>[]</v>
      </c>
      <c r="F14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48" spans="1:16" x14ac:dyDescent="0.15">
      <c r="A148" s="5">
        <f t="shared" ref="A148:A198" si="6">A135+1</f>
        <v>12</v>
      </c>
      <c r="B148" s="5">
        <v>1</v>
      </c>
      <c r="C148" s="5">
        <f>MAX(VLOOKUP(表3_3[[#This Row],[皮肤id]],表1[[id]:[魅力]],15,FALSE),100)*(1+VLOOKUP(表3_3[[#This Row],[星级]],[2]魅力系统!$E$41:$F$53,2,FALSE))</f>
        <v>1950</v>
      </c>
      <c r="D148" s="5">
        <f>表3_3[[#This Row],[星级]]^2*20000+20000*表3_3[[#This Row],[星级]]</f>
        <v>40000</v>
      </c>
      <c r="E148" s="5" t="str">
        <f>"["&amp;IF(表3_3[[#This Row],[星级]]=0,"","""w"&amp;500+表3_3[[#This Row],[皮肤id]]&amp;""","&amp;VLOOKUP(表3_3[[#This Row],[星级]],description!$C$1:$D$13,2,FALSE))&amp;"]"</f>
        <v>["w512",10]</v>
      </c>
      <c r="F14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0.01</v>
      </c>
      <c r="N148" s="5">
        <v>0</v>
      </c>
      <c r="O148" s="5">
        <v>0</v>
      </c>
      <c r="P14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49" spans="1:16" x14ac:dyDescent="0.15">
      <c r="A149" s="5">
        <f t="shared" si="6"/>
        <v>12</v>
      </c>
      <c r="B149" s="5">
        <v>2</v>
      </c>
      <c r="C149" s="5">
        <f>MAX(VLOOKUP(表3_3[[#This Row],[皮肤id]],表1[[id]:[魅力]],15,FALSE),100)*(1+VLOOKUP(表3_3[[#This Row],[星级]],[2]魅力系统!$E$41:$F$53,2,FALSE))</f>
        <v>2600</v>
      </c>
      <c r="D149" s="5">
        <f>表3_3[[#This Row],[星级]]^2*20000+20000*表3_3[[#This Row],[星级]]</f>
        <v>120000</v>
      </c>
      <c r="E149" s="5" t="str">
        <f>"["&amp;IF(表3_3[[#This Row],[星级]]=0,"","""w"&amp;500+表3_3[[#This Row],[皮肤id]]&amp;""","&amp;VLOOKUP(表3_3[[#This Row],[星级]],description!$C$1:$D$13,2,FALSE))&amp;"]"</f>
        <v>["w512",20]</v>
      </c>
      <c r="F14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["12z1","",""]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0.01</v>
      </c>
      <c r="N149" s="5">
        <v>0</v>
      </c>
      <c r="O149" s="5">
        <v>0</v>
      </c>
      <c r="P14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0" spans="1:16" x14ac:dyDescent="0.15">
      <c r="A150" s="5">
        <f t="shared" si="6"/>
        <v>12</v>
      </c>
      <c r="B150" s="5">
        <v>3</v>
      </c>
      <c r="C150" s="5">
        <f>MAX(VLOOKUP(表3_3[[#This Row],[皮肤id]],表1[[id]:[魅力]],15,FALSE),100)*(1+VLOOKUP(表3_3[[#This Row],[星级]],[2]魅力系统!$E$41:$F$53,2,FALSE))</f>
        <v>3250</v>
      </c>
      <c r="D150" s="5">
        <f>表3_3[[#This Row],[星级]]^2*20000+20000*表3_3[[#This Row],[星级]]</f>
        <v>240000</v>
      </c>
      <c r="E150" s="5" t="str">
        <f>"["&amp;IF(表3_3[[#This Row],[星级]]=0,"","""w"&amp;500+表3_3[[#This Row],[皮肤id]]&amp;""","&amp;VLOOKUP(表3_3[[#This Row],[星级]],description!$C$1:$D$13,2,FALSE))&amp;"]"</f>
        <v>["w512",40]</v>
      </c>
      <c r="F15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["12z1","",""]</v>
      </c>
      <c r="G150" s="5">
        <v>0</v>
      </c>
      <c r="H150" s="5">
        <v>0</v>
      </c>
      <c r="I150" s="5">
        <v>0</v>
      </c>
      <c r="J150" s="5">
        <v>0</v>
      </c>
      <c r="K150" s="5">
        <v>0.01</v>
      </c>
      <c r="L150" s="5">
        <v>0</v>
      </c>
      <c r="M150" s="5">
        <v>0.01</v>
      </c>
      <c r="N150" s="5">
        <v>0</v>
      </c>
      <c r="O150" s="5">
        <v>0</v>
      </c>
      <c r="P15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1" spans="1:16" x14ac:dyDescent="0.15">
      <c r="A151" s="5">
        <f t="shared" si="6"/>
        <v>12</v>
      </c>
      <c r="B151" s="5">
        <v>4</v>
      </c>
      <c r="C151" s="5">
        <f>MAX(VLOOKUP(表3_3[[#This Row],[皮肤id]],表1[[id]:[魅力]],15,FALSE),100)*(1+VLOOKUP(表3_3[[#This Row],[星级]],[2]魅力系统!$E$41:$F$53,2,FALSE))</f>
        <v>3900</v>
      </c>
      <c r="D151" s="5">
        <f>表3_3[[#This Row],[星级]]^2*20000+20000*表3_3[[#This Row],[星级]]</f>
        <v>400000</v>
      </c>
      <c r="E151" s="5" t="str">
        <f>"["&amp;IF(表3_3[[#This Row],[星级]]=0,"","""w"&amp;500+表3_3[[#This Row],[皮肤id]]&amp;""","&amp;VLOOKUP(表3_3[[#This Row],[星级]],description!$C$1:$D$13,2,FALSE))&amp;"]"</f>
        <v>["w512",60]</v>
      </c>
      <c r="F15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["12z1","",""]</v>
      </c>
      <c r="G151" s="5">
        <v>0</v>
      </c>
      <c r="H151" s="5">
        <v>0</v>
      </c>
      <c r="I151" s="5">
        <v>0</v>
      </c>
      <c r="J151" s="5">
        <v>0</v>
      </c>
      <c r="K151" s="5">
        <v>0.01</v>
      </c>
      <c r="L151" s="5">
        <v>0</v>
      </c>
      <c r="M151" s="5">
        <v>0.02</v>
      </c>
      <c r="N151" s="5">
        <v>0</v>
      </c>
      <c r="O151" s="5">
        <v>0</v>
      </c>
      <c r="P15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2" spans="1:16" x14ac:dyDescent="0.15">
      <c r="A152" s="5">
        <f t="shared" si="6"/>
        <v>12</v>
      </c>
      <c r="B152" s="5">
        <v>5</v>
      </c>
      <c r="C152" s="5">
        <f>MAX(VLOOKUP(表3_3[[#This Row],[皮肤id]],表1[[id]:[魅力]],15,FALSE),100)*(1+VLOOKUP(表3_3[[#This Row],[星级]],[2]魅力系统!$E$41:$F$53,2,FALSE))</f>
        <v>4550</v>
      </c>
      <c r="D152" s="5">
        <f>表3_3[[#This Row],[星级]]^2*20000+20000*表3_3[[#This Row],[星级]]</f>
        <v>600000</v>
      </c>
      <c r="E152" s="5" t="str">
        <f>"["&amp;IF(表3_3[[#This Row],[星级]]=0,"","""w"&amp;500+表3_3[[#This Row],[皮肤id]]&amp;""","&amp;VLOOKUP(表3_3[[#This Row],[星级]],description!$C$1:$D$13,2,FALSE))&amp;"]"</f>
        <v>["w512",100]</v>
      </c>
      <c r="F15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["12z1","12z2",""]</v>
      </c>
      <c r="G152" s="5">
        <v>0</v>
      </c>
      <c r="H152" s="5">
        <v>0</v>
      </c>
      <c r="I152" s="5">
        <v>0</v>
      </c>
      <c r="J152" s="5">
        <v>0</v>
      </c>
      <c r="K152" s="5">
        <v>0.01</v>
      </c>
      <c r="L152" s="5">
        <v>0</v>
      </c>
      <c r="M152" s="5">
        <v>0.02</v>
      </c>
      <c r="N152" s="5">
        <v>0</v>
      </c>
      <c r="O152" s="5">
        <v>0</v>
      </c>
      <c r="P15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3" spans="1:16" x14ac:dyDescent="0.15">
      <c r="A153" s="5">
        <f t="shared" si="6"/>
        <v>12</v>
      </c>
      <c r="B153" s="5">
        <v>6</v>
      </c>
      <c r="C153" s="5">
        <f>MAX(VLOOKUP(表3_3[[#This Row],[皮肤id]],表1[[id]:[魅力]],15,FALSE),100)*(1+VLOOKUP(表3_3[[#This Row],[星级]],[2]魅力系统!$E$41:$F$53,2,FALSE))</f>
        <v>5200</v>
      </c>
      <c r="D153" s="5">
        <f>表3_3[[#This Row],[星级]]^2*20000+20000*表3_3[[#This Row],[星级]]</f>
        <v>840000</v>
      </c>
      <c r="E153" s="5" t="str">
        <f>"["&amp;IF(表3_3[[#This Row],[星级]]=0,"","""w"&amp;500+表3_3[[#This Row],[皮肤id]]&amp;""","&amp;VLOOKUP(表3_3[[#This Row],[星级]],description!$C$1:$D$13,2,FALSE))&amp;"]"</f>
        <v>["w512",200]</v>
      </c>
      <c r="F15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["12z1","12z2",""]</v>
      </c>
      <c r="G153" s="5">
        <v>0</v>
      </c>
      <c r="H153" s="5">
        <v>0</v>
      </c>
      <c r="I153" s="5">
        <v>0</v>
      </c>
      <c r="J153" s="5">
        <v>0</v>
      </c>
      <c r="K153" s="5">
        <v>0.02</v>
      </c>
      <c r="L153" s="5">
        <v>0</v>
      </c>
      <c r="M153" s="5">
        <v>0.02</v>
      </c>
      <c r="N153" s="5">
        <v>0</v>
      </c>
      <c r="O153" s="5">
        <v>0</v>
      </c>
      <c r="P15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4" spans="1:16" x14ac:dyDescent="0.15">
      <c r="A154" s="5">
        <f t="shared" si="6"/>
        <v>12</v>
      </c>
      <c r="B154" s="5">
        <v>7</v>
      </c>
      <c r="C154" s="5">
        <f>MAX(VLOOKUP(表3_3[[#This Row],[皮肤id]],表1[[id]:[魅力]],15,FALSE),100)*(1+VLOOKUP(表3_3[[#This Row],[星级]],[2]魅力系统!$E$41:$F$53,2,FALSE))</f>
        <v>5850</v>
      </c>
      <c r="D154" s="5">
        <f>表3_3[[#This Row],[星级]]^2*20000+20000*表3_3[[#This Row],[星级]]</f>
        <v>1120000</v>
      </c>
      <c r="E154" s="5" t="str">
        <f>"["&amp;IF(表3_3[[#This Row],[星级]]=0,"","""w"&amp;500+表3_3[[#This Row],[皮肤id]]&amp;""","&amp;VLOOKUP(表3_3[[#This Row],[星级]],description!$C$1:$D$13,2,FALSE))&amp;"]"</f>
        <v>["w512",400]</v>
      </c>
      <c r="F15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["12z1","12z2",""]</v>
      </c>
      <c r="G154" s="5">
        <v>0</v>
      </c>
      <c r="H154" s="5">
        <v>0</v>
      </c>
      <c r="I154" s="5">
        <v>0</v>
      </c>
      <c r="J154" s="5">
        <v>0</v>
      </c>
      <c r="K154" s="5">
        <v>0.02</v>
      </c>
      <c r="L154" s="5">
        <v>0</v>
      </c>
      <c r="M154" s="5">
        <v>0.03</v>
      </c>
      <c r="N154" s="5">
        <v>0</v>
      </c>
      <c r="O154" s="5">
        <v>0</v>
      </c>
      <c r="P15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5" spans="1:16" x14ac:dyDescent="0.15">
      <c r="A155" s="5">
        <f t="shared" si="6"/>
        <v>12</v>
      </c>
      <c r="B155" s="5">
        <v>8</v>
      </c>
      <c r="C155" s="5">
        <f>MAX(VLOOKUP(表3_3[[#This Row],[皮肤id]],表1[[id]:[魅力]],15,FALSE),100)*(1+VLOOKUP(表3_3[[#This Row],[星级]],[2]魅力系统!$E$41:$F$53,2,FALSE))</f>
        <v>6500</v>
      </c>
      <c r="D155" s="5">
        <f>表3_3[[#This Row],[星级]]^2*20000+20000*表3_3[[#This Row],[星级]]</f>
        <v>1440000</v>
      </c>
      <c r="E155" s="5" t="str">
        <f>"["&amp;IF(表3_3[[#This Row],[星级]]=0,"","""w"&amp;500+表3_3[[#This Row],[皮肤id]]&amp;""","&amp;VLOOKUP(表3_3[[#This Row],[星级]],description!$C$1:$D$13,2,FALSE))&amp;"]"</f>
        <v>["w512",700]</v>
      </c>
      <c r="F15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["12z1","12z2","3jie"]</v>
      </c>
      <c r="G155" s="5">
        <v>0</v>
      </c>
      <c r="H155" s="5">
        <v>0</v>
      </c>
      <c r="I155" s="5">
        <v>0</v>
      </c>
      <c r="J155" s="5">
        <v>0</v>
      </c>
      <c r="K155" s="5">
        <v>0.02</v>
      </c>
      <c r="L155" s="5">
        <v>0</v>
      </c>
      <c r="M155" s="5">
        <v>0.03</v>
      </c>
      <c r="N155" s="5">
        <v>0</v>
      </c>
      <c r="O155" s="5">
        <v>0</v>
      </c>
      <c r="P15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6" spans="1:16" x14ac:dyDescent="0.15">
      <c r="A156" s="5">
        <f t="shared" si="6"/>
        <v>12</v>
      </c>
      <c r="B156" s="5">
        <v>9</v>
      </c>
      <c r="C156" s="5">
        <f>MAX(VLOOKUP(表3_3[[#This Row],[皮肤id]],表1[[id]:[魅力]],15,FALSE),100)*(1+VLOOKUP(表3_3[[#This Row],[星级]],[2]魅力系统!$E$41:$F$53,2,FALSE))</f>
        <v>7800</v>
      </c>
      <c r="D156" s="5">
        <f>表3_3[[#This Row],[星级]]^2*20000+20000*表3_3[[#This Row],[星级]]</f>
        <v>1800000</v>
      </c>
      <c r="E156" s="5" t="str">
        <f>"["&amp;IF(表3_3[[#This Row],[星级]]=0,"","""w"&amp;500+表3_3[[#This Row],[皮肤id]]&amp;""","&amp;VLOOKUP(表3_3[[#This Row],[星级]],description!$C$1:$D$13,2,FALSE))&amp;"]"</f>
        <v>["w512",1000]</v>
      </c>
      <c r="F15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["12z1","12z2","3jie"]</v>
      </c>
      <c r="G156" s="5">
        <v>0</v>
      </c>
      <c r="H156" s="5">
        <v>0</v>
      </c>
      <c r="I156" s="5">
        <v>0</v>
      </c>
      <c r="J156" s="5">
        <v>0</v>
      </c>
      <c r="K156" s="5">
        <v>0.02</v>
      </c>
      <c r="L156" s="5">
        <v>0</v>
      </c>
      <c r="M156" s="5">
        <v>0.04</v>
      </c>
      <c r="N156" s="5">
        <v>0</v>
      </c>
      <c r="O156" s="5">
        <v>0</v>
      </c>
      <c r="P15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7" spans="1:16" x14ac:dyDescent="0.15">
      <c r="A157" s="5">
        <f t="shared" si="6"/>
        <v>12</v>
      </c>
      <c r="B157" s="5">
        <v>10</v>
      </c>
      <c r="C157" s="5">
        <f>MAX(VLOOKUP(表3_3[[#This Row],[皮肤id]],表1[[id]:[魅力]],15,FALSE),100)*(1+VLOOKUP(表3_3[[#This Row],[星级]],[2]魅力系统!$E$41:$F$53,2,FALSE))</f>
        <v>9100</v>
      </c>
      <c r="D157" s="5">
        <f>表3_3[[#This Row],[星级]]^2*20000+20000*表3_3[[#This Row],[星级]]</f>
        <v>2200000</v>
      </c>
      <c r="E157" s="5" t="str">
        <f>"["&amp;IF(表3_3[[#This Row],[星级]]=0,"","""w"&amp;500+表3_3[[#This Row],[皮肤id]]&amp;""","&amp;VLOOKUP(表3_3[[#This Row],[星级]],description!$C$1:$D$13,2,FALSE))&amp;"]"</f>
        <v>["w512",1800]</v>
      </c>
      <c r="F15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["12z1","12z2","4jie"]</v>
      </c>
      <c r="G157" s="5">
        <v>0</v>
      </c>
      <c r="H157" s="5">
        <v>0</v>
      </c>
      <c r="I157" s="5">
        <v>0</v>
      </c>
      <c r="J157" s="5">
        <v>0</v>
      </c>
      <c r="K157" s="5">
        <v>0.02</v>
      </c>
      <c r="L157" s="5">
        <v>0</v>
      </c>
      <c r="M157" s="5">
        <v>0.04</v>
      </c>
      <c r="N157" s="5">
        <v>0</v>
      </c>
      <c r="O157" s="5">
        <v>0</v>
      </c>
      <c r="P15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58" spans="1:16" x14ac:dyDescent="0.15">
      <c r="A158" s="5">
        <f t="shared" si="6"/>
        <v>12</v>
      </c>
      <c r="B158" s="5">
        <v>11</v>
      </c>
      <c r="C158" s="5">
        <f>MAX(VLOOKUP(表3_3[[#This Row],[皮肤id]],表1[[id]:[魅力]],15,FALSE),100)*(1+VLOOKUP(表3_3[[#This Row],[星级]],[2]魅力系统!$E$41:$F$53,2,FALSE))</f>
        <v>10400</v>
      </c>
      <c r="D158" s="5">
        <f>表3_3[[#This Row],[星级]]^2*20000+20000*表3_3[[#This Row],[星级]]</f>
        <v>2640000</v>
      </c>
      <c r="E158" s="5" t="str">
        <f>"["&amp;IF(表3_3[[#This Row],[星级]]=0,"","""w"&amp;500+表3_3[[#This Row],[皮肤id]]&amp;""","&amp;VLOOKUP(表3_3[[#This Row],[星级]],description!$C$1:$D$13,2,FALSE))&amp;"]"</f>
        <v>["w512",2600]</v>
      </c>
      <c r="F15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["12z1","12z2","4jie"]</v>
      </c>
      <c r="G158" s="5">
        <v>0</v>
      </c>
      <c r="H158" s="5">
        <v>0</v>
      </c>
      <c r="I158" s="5">
        <v>0</v>
      </c>
      <c r="J158" s="5">
        <v>0</v>
      </c>
      <c r="K158" s="5">
        <v>0.02</v>
      </c>
      <c r="L158" s="5">
        <v>0</v>
      </c>
      <c r="M158" s="5">
        <v>0.05</v>
      </c>
      <c r="N158" s="5">
        <v>0</v>
      </c>
      <c r="O158" s="5">
        <v>0</v>
      </c>
      <c r="P15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59" spans="1:16" x14ac:dyDescent="0.15">
      <c r="A159" s="5">
        <f t="shared" si="6"/>
        <v>12</v>
      </c>
      <c r="B159" s="5">
        <v>12</v>
      </c>
      <c r="C159" s="5">
        <f>MAX(VLOOKUP(表3_3[[#This Row],[皮肤id]],表1[[id]:[魅力]],15,FALSE),100)*(1+VLOOKUP(表3_3[[#This Row],[星级]],[2]魅力系统!$E$41:$F$53,2,FALSE))</f>
        <v>11700</v>
      </c>
      <c r="D159" s="5">
        <f>表3_3[[#This Row],[星级]]^2*20000+20000*表3_3[[#This Row],[星级]]</f>
        <v>3120000</v>
      </c>
      <c r="E159" s="5" t="str">
        <f>"["&amp;IF(表3_3[[#This Row],[星级]]=0,"","""w"&amp;500+表3_3[[#This Row],[皮肤id]]&amp;""","&amp;VLOOKUP(表3_3[[#This Row],[星级]],description!$C$1:$D$13,2,FALSE))&amp;"]"</f>
        <v>["w512",3600]</v>
      </c>
      <c r="F15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["12z1","12z2","4jie"]</v>
      </c>
      <c r="G159" s="5">
        <v>0</v>
      </c>
      <c r="H159" s="5">
        <v>0</v>
      </c>
      <c r="I159" s="5">
        <v>0</v>
      </c>
      <c r="J159" s="5">
        <v>0</v>
      </c>
      <c r="K159" s="5">
        <v>0.03</v>
      </c>
      <c r="L159" s="5">
        <v>0</v>
      </c>
      <c r="M159" s="5">
        <v>0.05</v>
      </c>
      <c r="N159" s="5">
        <v>0</v>
      </c>
      <c r="O159" s="5">
        <v>0</v>
      </c>
      <c r="P15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0" spans="1:16" x14ac:dyDescent="0.15">
      <c r="A160" s="5">
        <f>A147+1</f>
        <v>13</v>
      </c>
      <c r="B160" s="5">
        <v>0</v>
      </c>
      <c r="C160" s="20">
        <f>MAX(VLOOKUP(表3_3[[#This Row],[皮肤id]],表1[[id]:[魅力]],15,FALSE),100)*(1+VLOOKUP(表3_3[[#This Row],[星级]],[2]魅力系统!$E$41:$F$53,2,FALSE))</f>
        <v>1550</v>
      </c>
      <c r="D160" s="20">
        <f>表3_3[[#This Row],[星级]]^2*20000+20000*表3_3[[#This Row],[星级]]</f>
        <v>0</v>
      </c>
      <c r="E160" s="5" t="str">
        <f>"["&amp;IF(表3_3[[#This Row],[星级]]=0,"","""w"&amp;500+表3_3[[#This Row],[皮肤id]]&amp;""","&amp;VLOOKUP(表3_3[[#This Row],[星级]],description!$C$1:$D$13,2,FALSE))&amp;"]"</f>
        <v>[]</v>
      </c>
      <c r="F16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60" s="5">
        <v>0</v>
      </c>
      <c r="H160" s="20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1" spans="1:16" x14ac:dyDescent="0.15">
      <c r="A161" s="5">
        <f t="shared" si="6"/>
        <v>13</v>
      </c>
      <c r="B161" s="5">
        <v>1</v>
      </c>
      <c r="C161" s="20">
        <f>MAX(VLOOKUP(表3_3[[#This Row],[皮肤id]],表1[[id]:[魅力]],15,FALSE),100)*(1+VLOOKUP(表3_3[[#This Row],[星级]],[2]魅力系统!$E$41:$F$53,2,FALSE))</f>
        <v>2325</v>
      </c>
      <c r="D161" s="20">
        <f>表3_3[[#This Row],[星级]]^2*20000+20000*表3_3[[#This Row],[星级]]</f>
        <v>40000</v>
      </c>
      <c r="E161" s="5" t="str">
        <f>"["&amp;IF(表3_3[[#This Row],[星级]]=0,"","""w"&amp;500+表3_3[[#This Row],[皮肤id]]&amp;""","&amp;VLOOKUP(表3_3[[#This Row],[星级]],description!$C$1:$D$13,2,FALSE))&amp;"]"</f>
        <v>["w513",10]</v>
      </c>
      <c r="F16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61" s="5">
        <v>0</v>
      </c>
      <c r="H161" s="20">
        <v>0</v>
      </c>
      <c r="I161" s="5">
        <v>0</v>
      </c>
      <c r="J161" s="5">
        <v>0</v>
      </c>
      <c r="K161" s="5">
        <v>0</v>
      </c>
      <c r="L161" s="5">
        <v>0.01</v>
      </c>
      <c r="M161" s="5">
        <v>0</v>
      </c>
      <c r="N161" s="5">
        <v>0</v>
      </c>
      <c r="O161" s="5">
        <v>0</v>
      </c>
      <c r="P16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2" spans="1:16" x14ac:dyDescent="0.15">
      <c r="A162" s="5">
        <f t="shared" si="6"/>
        <v>13</v>
      </c>
      <c r="B162" s="5">
        <v>2</v>
      </c>
      <c r="C162" s="20">
        <f>MAX(VLOOKUP(表3_3[[#This Row],[皮肤id]],表1[[id]:[魅力]],15,FALSE),100)*(1+VLOOKUP(表3_3[[#This Row],[星级]],[2]魅力系统!$E$41:$F$53,2,FALSE))</f>
        <v>3100</v>
      </c>
      <c r="D162" s="20">
        <f>表3_3[[#This Row],[星级]]^2*20000+20000*表3_3[[#This Row],[星级]]</f>
        <v>120000</v>
      </c>
      <c r="E162" s="5" t="str">
        <f>"["&amp;IF(表3_3[[#This Row],[星级]]=0,"","""w"&amp;500+表3_3[[#This Row],[皮肤id]]&amp;""","&amp;VLOOKUP(表3_3[[#This Row],[星级]],description!$C$1:$D$13,2,FALSE))&amp;"]"</f>
        <v>["w513",20]</v>
      </c>
      <c r="F16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["13z1","",""]</v>
      </c>
      <c r="G162" s="5">
        <v>0</v>
      </c>
      <c r="H162" s="20">
        <v>0</v>
      </c>
      <c r="I162" s="5">
        <v>0</v>
      </c>
      <c r="J162" s="5">
        <v>0</v>
      </c>
      <c r="K162" s="5">
        <v>0</v>
      </c>
      <c r="L162" s="5">
        <v>0.01</v>
      </c>
      <c r="M162" s="5">
        <v>0</v>
      </c>
      <c r="N162" s="5">
        <v>0</v>
      </c>
      <c r="O162" s="5">
        <v>0</v>
      </c>
      <c r="P16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3" spans="1:16" x14ac:dyDescent="0.15">
      <c r="A163" s="5">
        <f t="shared" si="6"/>
        <v>13</v>
      </c>
      <c r="B163" s="5">
        <v>3</v>
      </c>
      <c r="C163" s="20">
        <f>MAX(VLOOKUP(表3_3[[#This Row],[皮肤id]],表1[[id]:[魅力]],15,FALSE),100)*(1+VLOOKUP(表3_3[[#This Row],[星级]],[2]魅力系统!$E$41:$F$53,2,FALSE))</f>
        <v>3875</v>
      </c>
      <c r="D163" s="20">
        <f>表3_3[[#This Row],[星级]]^2*20000+20000*表3_3[[#This Row],[星级]]</f>
        <v>240000</v>
      </c>
      <c r="E163" s="5" t="str">
        <f>"["&amp;IF(表3_3[[#This Row],[星级]]=0,"","""w"&amp;500+表3_3[[#This Row],[皮肤id]]&amp;""","&amp;VLOOKUP(表3_3[[#This Row],[星级]],description!$C$1:$D$13,2,FALSE))&amp;"]"</f>
        <v>["w513",40]</v>
      </c>
      <c r="F16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["13z1","",""]</v>
      </c>
      <c r="G163" s="5">
        <v>0</v>
      </c>
      <c r="H163" s="20">
        <v>0</v>
      </c>
      <c r="I163" s="5">
        <v>0</v>
      </c>
      <c r="J163" s="5">
        <v>0</v>
      </c>
      <c r="K163" s="5">
        <v>0.01</v>
      </c>
      <c r="L163" s="5">
        <v>0.01</v>
      </c>
      <c r="M163" s="5">
        <v>0</v>
      </c>
      <c r="N163" s="5">
        <v>0</v>
      </c>
      <c r="O163" s="5">
        <v>0</v>
      </c>
      <c r="P16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4" spans="1:16" x14ac:dyDescent="0.15">
      <c r="A164" s="5">
        <f t="shared" si="6"/>
        <v>13</v>
      </c>
      <c r="B164" s="5">
        <v>4</v>
      </c>
      <c r="C164" s="20">
        <f>MAX(VLOOKUP(表3_3[[#This Row],[皮肤id]],表1[[id]:[魅力]],15,FALSE),100)*(1+VLOOKUP(表3_3[[#This Row],[星级]],[2]魅力系统!$E$41:$F$53,2,FALSE))</f>
        <v>4650</v>
      </c>
      <c r="D164" s="20">
        <f>表3_3[[#This Row],[星级]]^2*20000+20000*表3_3[[#This Row],[星级]]</f>
        <v>400000</v>
      </c>
      <c r="E164" s="5" t="str">
        <f>"["&amp;IF(表3_3[[#This Row],[星级]]=0,"","""w"&amp;500+表3_3[[#This Row],[皮肤id]]&amp;""","&amp;VLOOKUP(表3_3[[#This Row],[星级]],description!$C$1:$D$13,2,FALSE))&amp;"]"</f>
        <v>["w513",60]</v>
      </c>
      <c r="F16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["13z1","",""]</v>
      </c>
      <c r="G164" s="5">
        <v>0</v>
      </c>
      <c r="H164" s="20">
        <v>0</v>
      </c>
      <c r="I164" s="5">
        <v>0</v>
      </c>
      <c r="J164" s="5">
        <v>0</v>
      </c>
      <c r="K164" s="5">
        <v>0.01</v>
      </c>
      <c r="L164" s="5">
        <v>0.02</v>
      </c>
      <c r="M164" s="5">
        <v>0</v>
      </c>
      <c r="N164" s="5">
        <v>0</v>
      </c>
      <c r="O164" s="5">
        <v>0</v>
      </c>
      <c r="P16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5" spans="1:16" x14ac:dyDescent="0.15">
      <c r="A165" s="5">
        <f t="shared" si="6"/>
        <v>13</v>
      </c>
      <c r="B165" s="5">
        <v>5</v>
      </c>
      <c r="C165" s="20">
        <f>MAX(VLOOKUP(表3_3[[#This Row],[皮肤id]],表1[[id]:[魅力]],15,FALSE),100)*(1+VLOOKUP(表3_3[[#This Row],[星级]],[2]魅力系统!$E$41:$F$53,2,FALSE))</f>
        <v>5425</v>
      </c>
      <c r="D165" s="20">
        <f>表3_3[[#This Row],[星级]]^2*20000+20000*表3_3[[#This Row],[星级]]</f>
        <v>600000</v>
      </c>
      <c r="E165" s="5" t="str">
        <f>"["&amp;IF(表3_3[[#This Row],[星级]]=0,"","""w"&amp;500+表3_3[[#This Row],[皮肤id]]&amp;""","&amp;VLOOKUP(表3_3[[#This Row],[星级]],description!$C$1:$D$13,2,FALSE))&amp;"]"</f>
        <v>["w513",100]</v>
      </c>
      <c r="F16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["13z1","13z2",""]</v>
      </c>
      <c r="G165" s="5">
        <v>0</v>
      </c>
      <c r="H165" s="20">
        <v>0</v>
      </c>
      <c r="I165" s="5">
        <v>0</v>
      </c>
      <c r="J165" s="5">
        <v>0</v>
      </c>
      <c r="K165" s="5">
        <v>0.01</v>
      </c>
      <c r="L165" s="5">
        <v>0.02</v>
      </c>
      <c r="M165" s="5">
        <v>0</v>
      </c>
      <c r="N165" s="5">
        <v>0</v>
      </c>
      <c r="O165" s="5">
        <v>0</v>
      </c>
      <c r="P16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6" spans="1:16" x14ac:dyDescent="0.15">
      <c r="A166" s="5">
        <f t="shared" si="6"/>
        <v>13</v>
      </c>
      <c r="B166" s="5">
        <v>6</v>
      </c>
      <c r="C166" s="20">
        <f>MAX(VLOOKUP(表3_3[[#This Row],[皮肤id]],表1[[id]:[魅力]],15,FALSE),100)*(1+VLOOKUP(表3_3[[#This Row],[星级]],[2]魅力系统!$E$41:$F$53,2,FALSE))</f>
        <v>6200</v>
      </c>
      <c r="D166" s="20">
        <f>表3_3[[#This Row],[星级]]^2*20000+20000*表3_3[[#This Row],[星级]]</f>
        <v>840000</v>
      </c>
      <c r="E166" s="5" t="str">
        <f>"["&amp;IF(表3_3[[#This Row],[星级]]=0,"","""w"&amp;500+表3_3[[#This Row],[皮肤id]]&amp;""","&amp;VLOOKUP(表3_3[[#This Row],[星级]],description!$C$1:$D$13,2,FALSE))&amp;"]"</f>
        <v>["w513",200]</v>
      </c>
      <c r="F16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["13z1","13z2",""]</v>
      </c>
      <c r="G166" s="5">
        <v>0</v>
      </c>
      <c r="H166" s="20">
        <v>0</v>
      </c>
      <c r="I166" s="5">
        <v>0</v>
      </c>
      <c r="J166" s="5">
        <v>0</v>
      </c>
      <c r="K166" s="5">
        <v>0.02</v>
      </c>
      <c r="L166" s="5">
        <v>0.02</v>
      </c>
      <c r="M166" s="5">
        <v>0</v>
      </c>
      <c r="N166" s="5">
        <v>0</v>
      </c>
      <c r="O166" s="5">
        <v>0</v>
      </c>
      <c r="P16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7" spans="1:16" x14ac:dyDescent="0.15">
      <c r="A167" s="5">
        <f t="shared" si="6"/>
        <v>13</v>
      </c>
      <c r="B167" s="5">
        <v>7</v>
      </c>
      <c r="C167" s="20">
        <f>MAX(VLOOKUP(表3_3[[#This Row],[皮肤id]],表1[[id]:[魅力]],15,FALSE),100)*(1+VLOOKUP(表3_3[[#This Row],[星级]],[2]魅力系统!$E$41:$F$53,2,FALSE))</f>
        <v>6975</v>
      </c>
      <c r="D167" s="20">
        <f>表3_3[[#This Row],[星级]]^2*20000+20000*表3_3[[#This Row],[星级]]</f>
        <v>1120000</v>
      </c>
      <c r="E167" s="5" t="str">
        <f>"["&amp;IF(表3_3[[#This Row],[星级]]=0,"","""w"&amp;500+表3_3[[#This Row],[皮肤id]]&amp;""","&amp;VLOOKUP(表3_3[[#This Row],[星级]],description!$C$1:$D$13,2,FALSE))&amp;"]"</f>
        <v>["w513",400]</v>
      </c>
      <c r="F16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["13z1","13z2",""]</v>
      </c>
      <c r="G167" s="5">
        <v>0</v>
      </c>
      <c r="H167" s="20">
        <v>0</v>
      </c>
      <c r="I167" s="5">
        <v>0</v>
      </c>
      <c r="J167" s="5">
        <v>0</v>
      </c>
      <c r="K167" s="5">
        <v>0.02</v>
      </c>
      <c r="L167" s="5">
        <v>0.03</v>
      </c>
      <c r="M167" s="5">
        <v>0</v>
      </c>
      <c r="N167" s="5">
        <v>0</v>
      </c>
      <c r="O167" s="5">
        <v>0</v>
      </c>
      <c r="P16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8" spans="1:16" x14ac:dyDescent="0.15">
      <c r="A168" s="5">
        <f t="shared" si="6"/>
        <v>13</v>
      </c>
      <c r="B168" s="5">
        <v>8</v>
      </c>
      <c r="C168" s="20">
        <f>MAX(VLOOKUP(表3_3[[#This Row],[皮肤id]],表1[[id]:[魅力]],15,FALSE),100)*(1+VLOOKUP(表3_3[[#This Row],[星级]],[2]魅力系统!$E$41:$F$53,2,FALSE))</f>
        <v>7750</v>
      </c>
      <c r="D168" s="20">
        <f>表3_3[[#This Row],[星级]]^2*20000+20000*表3_3[[#This Row],[星级]]</f>
        <v>1440000</v>
      </c>
      <c r="E168" s="5" t="str">
        <f>"["&amp;IF(表3_3[[#This Row],[星级]]=0,"","""w"&amp;500+表3_3[[#This Row],[皮肤id]]&amp;""","&amp;VLOOKUP(表3_3[[#This Row],[星级]],description!$C$1:$D$13,2,FALSE))&amp;"]"</f>
        <v>["w513",700]</v>
      </c>
      <c r="F16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["13z1","13z2","3jie"]</v>
      </c>
      <c r="G168" s="5">
        <v>0</v>
      </c>
      <c r="H168" s="20">
        <v>0</v>
      </c>
      <c r="I168" s="5">
        <v>0</v>
      </c>
      <c r="J168" s="5">
        <v>0</v>
      </c>
      <c r="K168" s="5">
        <v>0.02</v>
      </c>
      <c r="L168" s="5">
        <v>0.03</v>
      </c>
      <c r="M168" s="5">
        <v>0</v>
      </c>
      <c r="N168" s="5">
        <v>0</v>
      </c>
      <c r="O168" s="5">
        <v>0</v>
      </c>
      <c r="P16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69" spans="1:16" x14ac:dyDescent="0.15">
      <c r="A169" s="5">
        <f t="shared" si="6"/>
        <v>13</v>
      </c>
      <c r="B169" s="5">
        <v>9</v>
      </c>
      <c r="C169" s="20">
        <f>MAX(VLOOKUP(表3_3[[#This Row],[皮肤id]],表1[[id]:[魅力]],15,FALSE),100)*(1+VLOOKUP(表3_3[[#This Row],[星级]],[2]魅力系统!$E$41:$F$53,2,FALSE))</f>
        <v>9300</v>
      </c>
      <c r="D169" s="20">
        <f>表3_3[[#This Row],[星级]]^2*20000+20000*表3_3[[#This Row],[星级]]</f>
        <v>1800000</v>
      </c>
      <c r="E169" s="5" t="str">
        <f>"["&amp;IF(表3_3[[#This Row],[星级]]=0,"","""w"&amp;500+表3_3[[#This Row],[皮肤id]]&amp;""","&amp;VLOOKUP(表3_3[[#This Row],[星级]],description!$C$1:$D$13,2,FALSE))&amp;"]"</f>
        <v>["w513",1000]</v>
      </c>
      <c r="F16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["13z1","13z2","3jie"]</v>
      </c>
      <c r="G169" s="5">
        <v>0</v>
      </c>
      <c r="H169" s="20">
        <v>0</v>
      </c>
      <c r="I169" s="5">
        <v>0</v>
      </c>
      <c r="J169" s="5">
        <v>0</v>
      </c>
      <c r="K169" s="5">
        <v>0.02</v>
      </c>
      <c r="L169" s="5">
        <v>0.04</v>
      </c>
      <c r="M169" s="5">
        <v>0</v>
      </c>
      <c r="N169" s="5">
        <v>0</v>
      </c>
      <c r="O169" s="5">
        <v>0</v>
      </c>
      <c r="P16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0" spans="1:16" x14ac:dyDescent="0.15">
      <c r="A170" s="5">
        <f t="shared" si="6"/>
        <v>13</v>
      </c>
      <c r="B170" s="5">
        <v>10</v>
      </c>
      <c r="C170" s="20">
        <f>MAX(VLOOKUP(表3_3[[#This Row],[皮肤id]],表1[[id]:[魅力]],15,FALSE),100)*(1+VLOOKUP(表3_3[[#This Row],[星级]],[2]魅力系统!$E$41:$F$53,2,FALSE))</f>
        <v>10850</v>
      </c>
      <c r="D170" s="20">
        <f>表3_3[[#This Row],[星级]]^2*20000+20000*表3_3[[#This Row],[星级]]</f>
        <v>2200000</v>
      </c>
      <c r="E170" s="5" t="str">
        <f>"["&amp;IF(表3_3[[#This Row],[星级]]=0,"","""w"&amp;500+表3_3[[#This Row],[皮肤id]]&amp;""","&amp;VLOOKUP(表3_3[[#This Row],[星级]],description!$C$1:$D$13,2,FALSE))&amp;"]"</f>
        <v>["w513",1800]</v>
      </c>
      <c r="F17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["13z1","13z2","4jie"]</v>
      </c>
      <c r="G170" s="5">
        <v>0</v>
      </c>
      <c r="H170" s="20">
        <v>0</v>
      </c>
      <c r="I170" s="5">
        <v>0</v>
      </c>
      <c r="J170" s="5">
        <v>0</v>
      </c>
      <c r="K170" s="5">
        <v>0.02</v>
      </c>
      <c r="L170" s="5">
        <v>0.04</v>
      </c>
      <c r="M170" s="5">
        <v>0</v>
      </c>
      <c r="N170" s="5">
        <v>0</v>
      </c>
      <c r="O170" s="5">
        <v>0</v>
      </c>
      <c r="P17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1" spans="1:16" x14ac:dyDescent="0.15">
      <c r="A171" s="5">
        <f t="shared" si="6"/>
        <v>13</v>
      </c>
      <c r="B171" s="5">
        <v>11</v>
      </c>
      <c r="C171" s="20">
        <f>MAX(VLOOKUP(表3_3[[#This Row],[皮肤id]],表1[[id]:[魅力]],15,FALSE),100)*(1+VLOOKUP(表3_3[[#This Row],[星级]],[2]魅力系统!$E$41:$F$53,2,FALSE))</f>
        <v>12400</v>
      </c>
      <c r="D171" s="20">
        <f>表3_3[[#This Row],[星级]]^2*20000+20000*表3_3[[#This Row],[星级]]</f>
        <v>2640000</v>
      </c>
      <c r="E171" s="5" t="str">
        <f>"["&amp;IF(表3_3[[#This Row],[星级]]=0,"","""w"&amp;500+表3_3[[#This Row],[皮肤id]]&amp;""","&amp;VLOOKUP(表3_3[[#This Row],[星级]],description!$C$1:$D$13,2,FALSE))&amp;"]"</f>
        <v>["w513",2600]</v>
      </c>
      <c r="F17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["13z1","13z2","4jie"]</v>
      </c>
      <c r="G171" s="5">
        <v>0</v>
      </c>
      <c r="H171" s="20">
        <v>0</v>
      </c>
      <c r="I171" s="5">
        <v>0</v>
      </c>
      <c r="J171" s="5">
        <v>0</v>
      </c>
      <c r="K171" s="5">
        <v>0.02</v>
      </c>
      <c r="L171" s="5">
        <v>0.05</v>
      </c>
      <c r="M171" s="5">
        <v>0</v>
      </c>
      <c r="N171" s="5">
        <v>0</v>
      </c>
      <c r="O171" s="5">
        <v>0</v>
      </c>
      <c r="P17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2" spans="1:16" x14ac:dyDescent="0.15">
      <c r="A172" s="5">
        <f t="shared" si="6"/>
        <v>13</v>
      </c>
      <c r="B172" s="5">
        <v>12</v>
      </c>
      <c r="C172" s="20">
        <f>MAX(VLOOKUP(表3_3[[#This Row],[皮肤id]],表1[[id]:[魅力]],15,FALSE),100)*(1+VLOOKUP(表3_3[[#This Row],[星级]],[2]魅力系统!$E$41:$F$53,2,FALSE))</f>
        <v>13950</v>
      </c>
      <c r="D172" s="20">
        <f>表3_3[[#This Row],[星级]]^2*20000+20000*表3_3[[#This Row],[星级]]</f>
        <v>3120000</v>
      </c>
      <c r="E172" s="5" t="str">
        <f>"["&amp;IF(表3_3[[#This Row],[星级]]=0,"","""w"&amp;500+表3_3[[#This Row],[皮肤id]]&amp;""","&amp;VLOOKUP(表3_3[[#This Row],[星级]],description!$C$1:$D$13,2,FALSE))&amp;"]"</f>
        <v>["w513",3600]</v>
      </c>
      <c r="F17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["13z1","13z2","4jie"]</v>
      </c>
      <c r="G172" s="5">
        <v>0</v>
      </c>
      <c r="H172" s="20">
        <v>0</v>
      </c>
      <c r="I172" s="5">
        <v>0</v>
      </c>
      <c r="J172" s="5">
        <v>0</v>
      </c>
      <c r="K172" s="5">
        <v>0.03</v>
      </c>
      <c r="L172" s="5">
        <v>0.05</v>
      </c>
      <c r="M172" s="5">
        <v>0</v>
      </c>
      <c r="N172" s="5">
        <v>0</v>
      </c>
      <c r="O172" s="5">
        <v>0</v>
      </c>
      <c r="P17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3" spans="1:16" x14ac:dyDescent="0.15">
      <c r="A173" s="5">
        <f>A160+1</f>
        <v>14</v>
      </c>
      <c r="B173" s="5">
        <v>0</v>
      </c>
      <c r="C173" s="20">
        <f>MAX(VLOOKUP(表3_3[[#This Row],[皮肤id]],表1[[id]:[魅力]],15,FALSE),100)*(1+VLOOKUP(表3_3[[#This Row],[星级]],[2]魅力系统!$E$41:$F$53,2,FALSE))</f>
        <v>1800</v>
      </c>
      <c r="D173" s="20">
        <f>表3_3[[#This Row],[星级]]^2*20000+20000*表3_3[[#This Row],[星级]]</f>
        <v>0</v>
      </c>
      <c r="E173" s="5" t="str">
        <f>"["&amp;IF(表3_3[[#This Row],[星级]]=0,"","""w"&amp;500+表3_3[[#This Row],[皮肤id]]&amp;""","&amp;VLOOKUP(表3_3[[#This Row],[星级]],description!$C$1:$D$13,2,FALSE))&amp;"]"</f>
        <v>[]</v>
      </c>
      <c r="F17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73" s="5">
        <v>0</v>
      </c>
      <c r="H173" s="20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4" spans="1:16" x14ac:dyDescent="0.15">
      <c r="A174" s="5">
        <f t="shared" si="6"/>
        <v>14</v>
      </c>
      <c r="B174" s="5">
        <v>1</v>
      </c>
      <c r="C174" s="20">
        <f>MAX(VLOOKUP(表3_3[[#This Row],[皮肤id]],表1[[id]:[魅力]],15,FALSE),100)*(1+VLOOKUP(表3_3[[#This Row],[星级]],[2]魅力系统!$E$41:$F$53,2,FALSE))</f>
        <v>2700</v>
      </c>
      <c r="D174" s="20">
        <f>表3_3[[#This Row],[星级]]^2*20000+20000*表3_3[[#This Row],[星级]]</f>
        <v>40000</v>
      </c>
      <c r="E174" s="5" t="str">
        <f>"["&amp;IF(表3_3[[#This Row],[星级]]=0,"","""w"&amp;500+表3_3[[#This Row],[皮肤id]]&amp;""","&amp;VLOOKUP(表3_3[[#This Row],[星级]],description!$C$1:$D$13,2,FALSE))&amp;"]"</f>
        <v>["w514",10]</v>
      </c>
      <c r="F17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74" s="5">
        <v>0</v>
      </c>
      <c r="H174" s="20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4.0000000000000001E-3</v>
      </c>
      <c r="P17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5" spans="1:16" x14ac:dyDescent="0.15">
      <c r="A175" s="5">
        <f t="shared" si="6"/>
        <v>14</v>
      </c>
      <c r="B175" s="5">
        <v>2</v>
      </c>
      <c r="C175" s="20">
        <f>MAX(VLOOKUP(表3_3[[#This Row],[皮肤id]],表1[[id]:[魅力]],15,FALSE),100)*(1+VLOOKUP(表3_3[[#This Row],[星级]],[2]魅力系统!$E$41:$F$53,2,FALSE))</f>
        <v>3600</v>
      </c>
      <c r="D175" s="20">
        <f>表3_3[[#This Row],[星级]]^2*20000+20000*表3_3[[#This Row],[星级]]</f>
        <v>120000</v>
      </c>
      <c r="E175" s="5" t="str">
        <f>"["&amp;IF(表3_3[[#This Row],[星级]]=0,"","""w"&amp;500+表3_3[[#This Row],[皮肤id]]&amp;""","&amp;VLOOKUP(表3_3[[#This Row],[星级]],description!$C$1:$D$13,2,FALSE))&amp;"]"</f>
        <v>["w514",20]</v>
      </c>
      <c r="F17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["14z1","",""]</v>
      </c>
      <c r="G175" s="5">
        <v>0</v>
      </c>
      <c r="H175" s="20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4.0000000000000001E-3</v>
      </c>
      <c r="P17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6" spans="1:16" x14ac:dyDescent="0.15">
      <c r="A176" s="5">
        <f t="shared" si="6"/>
        <v>14</v>
      </c>
      <c r="B176" s="5">
        <v>3</v>
      </c>
      <c r="C176" s="20">
        <f>MAX(VLOOKUP(表3_3[[#This Row],[皮肤id]],表1[[id]:[魅力]],15,FALSE),100)*(1+VLOOKUP(表3_3[[#This Row],[星级]],[2]魅力系统!$E$41:$F$53,2,FALSE))</f>
        <v>4500</v>
      </c>
      <c r="D176" s="20">
        <f>表3_3[[#This Row],[星级]]^2*20000+20000*表3_3[[#This Row],[星级]]</f>
        <v>240000</v>
      </c>
      <c r="E176" s="5" t="str">
        <f>"["&amp;IF(表3_3[[#This Row],[星级]]=0,"","""w"&amp;500+表3_3[[#This Row],[皮肤id]]&amp;""","&amp;VLOOKUP(表3_3[[#This Row],[星级]],description!$C$1:$D$13,2,FALSE))&amp;"]"</f>
        <v>["w514",40]</v>
      </c>
      <c r="F17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["14z1","",""]</v>
      </c>
      <c r="G176" s="5">
        <v>0</v>
      </c>
      <c r="H176" s="20">
        <v>0</v>
      </c>
      <c r="I176" s="5">
        <v>0</v>
      </c>
      <c r="J176" s="5">
        <v>0.01</v>
      </c>
      <c r="K176" s="5">
        <v>0</v>
      </c>
      <c r="L176" s="5">
        <v>0</v>
      </c>
      <c r="M176" s="5">
        <v>0</v>
      </c>
      <c r="N176" s="5">
        <v>0</v>
      </c>
      <c r="O176" s="5">
        <v>4.0000000000000001E-3</v>
      </c>
      <c r="P17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7" spans="1:16" x14ac:dyDescent="0.15">
      <c r="A177" s="5">
        <f t="shared" si="6"/>
        <v>14</v>
      </c>
      <c r="B177" s="5">
        <v>4</v>
      </c>
      <c r="C177" s="20">
        <f>MAX(VLOOKUP(表3_3[[#This Row],[皮肤id]],表1[[id]:[魅力]],15,FALSE),100)*(1+VLOOKUP(表3_3[[#This Row],[星级]],[2]魅力系统!$E$41:$F$53,2,FALSE))</f>
        <v>5400</v>
      </c>
      <c r="D177" s="20">
        <f>表3_3[[#This Row],[星级]]^2*20000+20000*表3_3[[#This Row],[星级]]</f>
        <v>400000</v>
      </c>
      <c r="E177" s="5" t="str">
        <f>"["&amp;IF(表3_3[[#This Row],[星级]]=0,"","""w"&amp;500+表3_3[[#This Row],[皮肤id]]&amp;""","&amp;VLOOKUP(表3_3[[#This Row],[星级]],description!$C$1:$D$13,2,FALSE))&amp;"]"</f>
        <v>["w514",60]</v>
      </c>
      <c r="F17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["14z1","",""]</v>
      </c>
      <c r="G177" s="5">
        <v>0</v>
      </c>
      <c r="H177" s="20">
        <v>0</v>
      </c>
      <c r="I177" s="5">
        <v>0</v>
      </c>
      <c r="J177" s="5">
        <v>0.01</v>
      </c>
      <c r="K177" s="5">
        <v>0</v>
      </c>
      <c r="L177" s="5">
        <v>0</v>
      </c>
      <c r="M177" s="5">
        <v>0</v>
      </c>
      <c r="N177" s="5">
        <v>0</v>
      </c>
      <c r="O177" s="5">
        <v>5.0000000000000001E-3</v>
      </c>
      <c r="P17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8" spans="1:16" x14ac:dyDescent="0.15">
      <c r="A178" s="5">
        <f t="shared" si="6"/>
        <v>14</v>
      </c>
      <c r="B178" s="5">
        <v>5</v>
      </c>
      <c r="C178" s="20">
        <f>MAX(VLOOKUP(表3_3[[#This Row],[皮肤id]],表1[[id]:[魅力]],15,FALSE),100)*(1+VLOOKUP(表3_3[[#This Row],[星级]],[2]魅力系统!$E$41:$F$53,2,FALSE))</f>
        <v>6300</v>
      </c>
      <c r="D178" s="20">
        <f>表3_3[[#This Row],[星级]]^2*20000+20000*表3_3[[#This Row],[星级]]</f>
        <v>600000</v>
      </c>
      <c r="E178" s="5" t="str">
        <f>"["&amp;IF(表3_3[[#This Row],[星级]]=0,"","""w"&amp;500+表3_3[[#This Row],[皮肤id]]&amp;""","&amp;VLOOKUP(表3_3[[#This Row],[星级]],description!$C$1:$D$13,2,FALSE))&amp;"]"</f>
        <v>["w514",100]</v>
      </c>
      <c r="F17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["14z1","14z2",""]</v>
      </c>
      <c r="G178" s="5">
        <v>0</v>
      </c>
      <c r="H178" s="20">
        <v>0</v>
      </c>
      <c r="I178" s="5">
        <v>0</v>
      </c>
      <c r="J178" s="5">
        <v>0.01</v>
      </c>
      <c r="K178" s="5">
        <v>0</v>
      </c>
      <c r="L178" s="5">
        <v>0</v>
      </c>
      <c r="M178" s="5">
        <v>0</v>
      </c>
      <c r="N178" s="5">
        <v>0</v>
      </c>
      <c r="O178" s="5">
        <v>5.0000000000000001E-3</v>
      </c>
      <c r="P17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79" spans="1:16" x14ac:dyDescent="0.15">
      <c r="A179" s="5">
        <f t="shared" si="6"/>
        <v>14</v>
      </c>
      <c r="B179" s="5">
        <v>6</v>
      </c>
      <c r="C179" s="20">
        <f>MAX(VLOOKUP(表3_3[[#This Row],[皮肤id]],表1[[id]:[魅力]],15,FALSE),100)*(1+VLOOKUP(表3_3[[#This Row],[星级]],[2]魅力系统!$E$41:$F$53,2,FALSE))</f>
        <v>7200</v>
      </c>
      <c r="D179" s="20">
        <f>表3_3[[#This Row],[星级]]^2*20000+20000*表3_3[[#This Row],[星级]]</f>
        <v>840000</v>
      </c>
      <c r="E179" s="5" t="str">
        <f>"["&amp;IF(表3_3[[#This Row],[星级]]=0,"","""w"&amp;500+表3_3[[#This Row],[皮肤id]]&amp;""","&amp;VLOOKUP(表3_3[[#This Row],[星级]],description!$C$1:$D$13,2,FALSE))&amp;"]"</f>
        <v>["w514",200]</v>
      </c>
      <c r="F17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["14z1","14z2",""]</v>
      </c>
      <c r="G179" s="5">
        <v>0</v>
      </c>
      <c r="H179" s="20">
        <v>0</v>
      </c>
      <c r="I179" s="5">
        <v>0</v>
      </c>
      <c r="J179" s="5">
        <v>0.02</v>
      </c>
      <c r="K179" s="5">
        <v>0</v>
      </c>
      <c r="L179" s="5">
        <v>0</v>
      </c>
      <c r="M179" s="5">
        <v>0</v>
      </c>
      <c r="N179" s="5">
        <v>0</v>
      </c>
      <c r="O179" s="5">
        <v>5.0000000000000001E-3</v>
      </c>
      <c r="P17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0" spans="1:16" x14ac:dyDescent="0.15">
      <c r="A180" s="5">
        <f t="shared" si="6"/>
        <v>14</v>
      </c>
      <c r="B180" s="5">
        <v>7</v>
      </c>
      <c r="C180" s="20">
        <f>MAX(VLOOKUP(表3_3[[#This Row],[皮肤id]],表1[[id]:[魅力]],15,FALSE),100)*(1+VLOOKUP(表3_3[[#This Row],[星级]],[2]魅力系统!$E$41:$F$53,2,FALSE))</f>
        <v>8100</v>
      </c>
      <c r="D180" s="20">
        <f>表3_3[[#This Row],[星级]]^2*20000+20000*表3_3[[#This Row],[星级]]</f>
        <v>1120000</v>
      </c>
      <c r="E180" s="5" t="str">
        <f>"["&amp;IF(表3_3[[#This Row],[星级]]=0,"","""w"&amp;500+表3_3[[#This Row],[皮肤id]]&amp;""","&amp;VLOOKUP(表3_3[[#This Row],[星级]],description!$C$1:$D$13,2,FALSE))&amp;"]"</f>
        <v>["w514",400]</v>
      </c>
      <c r="F18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["14z1","14z2",""]</v>
      </c>
      <c r="G180" s="5">
        <v>0</v>
      </c>
      <c r="H180" s="20">
        <v>0</v>
      </c>
      <c r="I180" s="5">
        <v>0</v>
      </c>
      <c r="J180" s="5">
        <v>0.02</v>
      </c>
      <c r="K180" s="5">
        <v>0</v>
      </c>
      <c r="L180" s="5">
        <v>0</v>
      </c>
      <c r="M180" s="5">
        <v>0</v>
      </c>
      <c r="N180" s="5">
        <v>0</v>
      </c>
      <c r="O180" s="5">
        <v>6.0000000000000001E-3</v>
      </c>
      <c r="P18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1" spans="1:16" x14ac:dyDescent="0.15">
      <c r="A181" s="5">
        <f t="shared" si="6"/>
        <v>14</v>
      </c>
      <c r="B181" s="5">
        <v>8</v>
      </c>
      <c r="C181" s="20">
        <f>MAX(VLOOKUP(表3_3[[#This Row],[皮肤id]],表1[[id]:[魅力]],15,FALSE),100)*(1+VLOOKUP(表3_3[[#This Row],[星级]],[2]魅力系统!$E$41:$F$53,2,FALSE))</f>
        <v>9000</v>
      </c>
      <c r="D181" s="20">
        <f>表3_3[[#This Row],[星级]]^2*20000+20000*表3_3[[#This Row],[星级]]</f>
        <v>1440000</v>
      </c>
      <c r="E181" s="5" t="str">
        <f>"["&amp;IF(表3_3[[#This Row],[星级]]=0,"","""w"&amp;500+表3_3[[#This Row],[皮肤id]]&amp;""","&amp;VLOOKUP(表3_3[[#This Row],[星级]],description!$C$1:$D$13,2,FALSE))&amp;"]"</f>
        <v>["w514",700]</v>
      </c>
      <c r="F18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["14z1","14z2","3jie"]</v>
      </c>
      <c r="G181" s="5">
        <v>0</v>
      </c>
      <c r="H181" s="20">
        <v>0</v>
      </c>
      <c r="I181" s="5">
        <v>0</v>
      </c>
      <c r="J181" s="5">
        <v>0.02</v>
      </c>
      <c r="K181" s="5">
        <v>0</v>
      </c>
      <c r="L181" s="5">
        <v>0</v>
      </c>
      <c r="M181" s="5">
        <v>0</v>
      </c>
      <c r="N181" s="5">
        <v>0</v>
      </c>
      <c r="O181" s="5">
        <v>6.0000000000000001E-3</v>
      </c>
      <c r="P18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2" spans="1:16" x14ac:dyDescent="0.15">
      <c r="A182" s="5">
        <f t="shared" si="6"/>
        <v>14</v>
      </c>
      <c r="B182" s="5">
        <v>9</v>
      </c>
      <c r="C182" s="20">
        <f>MAX(VLOOKUP(表3_3[[#This Row],[皮肤id]],表1[[id]:[魅力]],15,FALSE),100)*(1+VLOOKUP(表3_3[[#This Row],[星级]],[2]魅力系统!$E$41:$F$53,2,FALSE))</f>
        <v>10800</v>
      </c>
      <c r="D182" s="20">
        <f>表3_3[[#This Row],[星级]]^2*20000+20000*表3_3[[#This Row],[星级]]</f>
        <v>1800000</v>
      </c>
      <c r="E182" s="5" t="str">
        <f>"["&amp;IF(表3_3[[#This Row],[星级]]=0,"","""w"&amp;500+表3_3[[#This Row],[皮肤id]]&amp;""","&amp;VLOOKUP(表3_3[[#This Row],[星级]],description!$C$1:$D$13,2,FALSE))&amp;"]"</f>
        <v>["w514",1000]</v>
      </c>
      <c r="F18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["14z1","14z2","3jie"]</v>
      </c>
      <c r="G182" s="5">
        <v>0</v>
      </c>
      <c r="H182" s="20">
        <v>0</v>
      </c>
      <c r="I182" s="5">
        <v>0</v>
      </c>
      <c r="J182" s="5">
        <v>0.02</v>
      </c>
      <c r="K182" s="5">
        <v>0</v>
      </c>
      <c r="L182" s="5">
        <v>0</v>
      </c>
      <c r="M182" s="5">
        <v>0</v>
      </c>
      <c r="N182" s="5">
        <v>0</v>
      </c>
      <c r="O182" s="5">
        <v>8.0000000000000002E-3</v>
      </c>
      <c r="P18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3" spans="1:16" x14ac:dyDescent="0.15">
      <c r="A183" s="5">
        <f t="shared" si="6"/>
        <v>14</v>
      </c>
      <c r="B183" s="5">
        <v>10</v>
      </c>
      <c r="C183" s="20">
        <f>MAX(VLOOKUP(表3_3[[#This Row],[皮肤id]],表1[[id]:[魅力]],15,FALSE),100)*(1+VLOOKUP(表3_3[[#This Row],[星级]],[2]魅力系统!$E$41:$F$53,2,FALSE))</f>
        <v>12600</v>
      </c>
      <c r="D183" s="20">
        <f>表3_3[[#This Row],[星级]]^2*20000+20000*表3_3[[#This Row],[星级]]</f>
        <v>2200000</v>
      </c>
      <c r="E183" s="5" t="str">
        <f>"["&amp;IF(表3_3[[#This Row],[星级]]=0,"","""w"&amp;500+表3_3[[#This Row],[皮肤id]]&amp;""","&amp;VLOOKUP(表3_3[[#This Row],[星级]],description!$C$1:$D$13,2,FALSE))&amp;"]"</f>
        <v>["w514",1800]</v>
      </c>
      <c r="F18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["14z1","14z2","4jie"]</v>
      </c>
      <c r="G183" s="5">
        <v>0</v>
      </c>
      <c r="H183" s="20">
        <v>0</v>
      </c>
      <c r="I183" s="5">
        <v>0</v>
      </c>
      <c r="J183" s="5">
        <v>0.02</v>
      </c>
      <c r="K183" s="5">
        <v>0</v>
      </c>
      <c r="L183" s="5">
        <v>0</v>
      </c>
      <c r="M183" s="5">
        <v>0</v>
      </c>
      <c r="N183" s="5">
        <v>0</v>
      </c>
      <c r="O183" s="5">
        <v>8.0000000000000002E-3</v>
      </c>
      <c r="P18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4" spans="1:16" x14ac:dyDescent="0.15">
      <c r="A184" s="5">
        <f t="shared" si="6"/>
        <v>14</v>
      </c>
      <c r="B184" s="5">
        <v>11</v>
      </c>
      <c r="C184" s="20">
        <f>MAX(VLOOKUP(表3_3[[#This Row],[皮肤id]],表1[[id]:[魅力]],15,FALSE),100)*(1+VLOOKUP(表3_3[[#This Row],[星级]],[2]魅力系统!$E$41:$F$53,2,FALSE))</f>
        <v>14400</v>
      </c>
      <c r="D184" s="20">
        <f>表3_3[[#This Row],[星级]]^2*20000+20000*表3_3[[#This Row],[星级]]</f>
        <v>2640000</v>
      </c>
      <c r="E184" s="5" t="str">
        <f>"["&amp;IF(表3_3[[#This Row],[星级]]=0,"","""w"&amp;500+表3_3[[#This Row],[皮肤id]]&amp;""","&amp;VLOOKUP(表3_3[[#This Row],[星级]],description!$C$1:$D$13,2,FALSE))&amp;"]"</f>
        <v>["w514",2600]</v>
      </c>
      <c r="F18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["14z1","14z2","4jie"]</v>
      </c>
      <c r="G184" s="5">
        <v>0</v>
      </c>
      <c r="H184" s="20">
        <v>0</v>
      </c>
      <c r="I184" s="5">
        <v>0</v>
      </c>
      <c r="J184" s="5">
        <v>0.02</v>
      </c>
      <c r="K184" s="5">
        <v>0</v>
      </c>
      <c r="L184" s="5">
        <v>0</v>
      </c>
      <c r="M184" s="5">
        <v>0</v>
      </c>
      <c r="N184" s="5">
        <v>0</v>
      </c>
      <c r="O184" s="5">
        <v>0.01</v>
      </c>
      <c r="P18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5" spans="1:16" x14ac:dyDescent="0.15">
      <c r="A185" s="5">
        <f t="shared" si="6"/>
        <v>14</v>
      </c>
      <c r="B185" s="5">
        <v>12</v>
      </c>
      <c r="C185" s="20">
        <f>MAX(VLOOKUP(表3_3[[#This Row],[皮肤id]],表1[[id]:[魅力]],15,FALSE),100)*(1+VLOOKUP(表3_3[[#This Row],[星级]],[2]魅力系统!$E$41:$F$53,2,FALSE))</f>
        <v>16200</v>
      </c>
      <c r="D185" s="20">
        <f>表3_3[[#This Row],[星级]]^2*20000+20000*表3_3[[#This Row],[星级]]</f>
        <v>3120000</v>
      </c>
      <c r="E185" s="5" t="str">
        <f>"["&amp;IF(表3_3[[#This Row],[星级]]=0,"","""w"&amp;500+表3_3[[#This Row],[皮肤id]]&amp;""","&amp;VLOOKUP(表3_3[[#This Row],[星级]],description!$C$1:$D$13,2,FALSE))&amp;"]"</f>
        <v>["w514",3600]</v>
      </c>
      <c r="F18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["14z1","14z2","4jie"]</v>
      </c>
      <c r="G185" s="5">
        <v>0</v>
      </c>
      <c r="H185" s="20">
        <v>0</v>
      </c>
      <c r="I185" s="5">
        <v>0</v>
      </c>
      <c r="J185" s="5">
        <v>0.03</v>
      </c>
      <c r="K185" s="5">
        <v>0</v>
      </c>
      <c r="L185" s="5">
        <v>0</v>
      </c>
      <c r="M185" s="5">
        <v>0</v>
      </c>
      <c r="N185" s="5">
        <v>0</v>
      </c>
      <c r="O185" s="5">
        <v>0.01</v>
      </c>
      <c r="P18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6" spans="1:16" x14ac:dyDescent="0.15">
      <c r="A186" s="5">
        <f>A173+1</f>
        <v>15</v>
      </c>
      <c r="B186" s="5">
        <v>0</v>
      </c>
      <c r="C186" s="20">
        <f>MAX(VLOOKUP(表3_3[[#This Row],[皮肤id]],表1[[id]:[魅力]],15,FALSE),100)*(1+VLOOKUP(表3_3[[#This Row],[星级]],[2]魅力系统!$E$41:$F$53,2,FALSE))</f>
        <v>1800</v>
      </c>
      <c r="D186" s="20">
        <f>表3_3[[#This Row],[星级]]^2*20000+20000*表3_3[[#This Row],[星级]]</f>
        <v>0</v>
      </c>
      <c r="E186" s="5" t="str">
        <f>"["&amp;IF(表3_3[[#This Row],[星级]]=0,"","""w"&amp;500+表3_3[[#This Row],[皮肤id]]&amp;""","&amp;VLOOKUP(表3_3[[#This Row],[星级]],description!$C$1:$D$13,2,FALSE))&amp;"]"</f>
        <v>[]</v>
      </c>
      <c r="F18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86" s="5">
        <v>0</v>
      </c>
      <c r="H186" s="20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7" spans="1:16" x14ac:dyDescent="0.15">
      <c r="A187" s="5">
        <f t="shared" si="6"/>
        <v>15</v>
      </c>
      <c r="B187" s="5">
        <v>1</v>
      </c>
      <c r="C187" s="20">
        <f>MAX(VLOOKUP(表3_3[[#This Row],[皮肤id]],表1[[id]:[魅力]],15,FALSE),100)*(1+VLOOKUP(表3_3[[#This Row],[星级]],[2]魅力系统!$E$41:$F$53,2,FALSE))</f>
        <v>2700</v>
      </c>
      <c r="D187" s="20">
        <f>表3_3[[#This Row],[星级]]^2*20000+20000*表3_3[[#This Row],[星级]]</f>
        <v>40000</v>
      </c>
      <c r="E187" s="5" t="str">
        <f>"["&amp;IF(表3_3[[#This Row],[星级]]=0,"","""w"&amp;500+表3_3[[#This Row],[皮肤id]]&amp;""","&amp;VLOOKUP(表3_3[[#This Row],[星级]],description!$C$1:$D$13,2,FALSE))&amp;"]"</f>
        <v>["w515",10]</v>
      </c>
      <c r="F18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["","",""]</v>
      </c>
      <c r="G187" s="5">
        <v>0.01</v>
      </c>
      <c r="H187" s="20">
        <v>0</v>
      </c>
      <c r="I187" s="5">
        <v>0</v>
      </c>
      <c r="J187" s="5">
        <v>0.02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8" spans="1:16" x14ac:dyDescent="0.15">
      <c r="A188" s="5">
        <f t="shared" si="6"/>
        <v>15</v>
      </c>
      <c r="B188" s="5">
        <v>2</v>
      </c>
      <c r="C188" s="20">
        <f>MAX(VLOOKUP(表3_3[[#This Row],[皮肤id]],表1[[id]:[魅力]],15,FALSE),100)*(1+VLOOKUP(表3_3[[#This Row],[星级]],[2]魅力系统!$E$41:$F$53,2,FALSE))</f>
        <v>3600</v>
      </c>
      <c r="D188" s="20">
        <f>表3_3[[#This Row],[星级]]^2*20000+20000*表3_3[[#This Row],[星级]]</f>
        <v>120000</v>
      </c>
      <c r="E188" s="5" t="str">
        <f>"["&amp;IF(表3_3[[#This Row],[星级]]=0,"","""w"&amp;500+表3_3[[#This Row],[皮肤id]]&amp;""","&amp;VLOOKUP(表3_3[[#This Row],[星级]],description!$C$1:$D$13,2,FALSE))&amp;"]"</f>
        <v>["w515",20]</v>
      </c>
      <c r="F18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["15z1","",""]</v>
      </c>
      <c r="G188" s="5">
        <v>0.01</v>
      </c>
      <c r="H188" s="20">
        <v>0</v>
      </c>
      <c r="I188" s="5">
        <v>0</v>
      </c>
      <c r="J188" s="5">
        <v>0.02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89" spans="1:16" x14ac:dyDescent="0.15">
      <c r="A189" s="5">
        <f t="shared" si="6"/>
        <v>15</v>
      </c>
      <c r="B189" s="5">
        <v>3</v>
      </c>
      <c r="C189" s="20">
        <f>MAX(VLOOKUP(表3_3[[#This Row],[皮肤id]],表1[[id]:[魅力]],15,FALSE),100)*(1+VLOOKUP(表3_3[[#This Row],[星级]],[2]魅力系统!$E$41:$F$53,2,FALSE))</f>
        <v>4500</v>
      </c>
      <c r="D189" s="20">
        <f>表3_3[[#This Row],[星级]]^2*20000+20000*表3_3[[#This Row],[星级]]</f>
        <v>240000</v>
      </c>
      <c r="E189" s="5" t="str">
        <f>"["&amp;IF(表3_3[[#This Row],[星级]]=0,"","""w"&amp;500+表3_3[[#This Row],[皮肤id]]&amp;""","&amp;VLOOKUP(表3_3[[#This Row],[星级]],description!$C$1:$D$13,2,FALSE))&amp;"]"</f>
        <v>["w515",40]</v>
      </c>
      <c r="F189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["15z1","",""]</v>
      </c>
      <c r="G189" s="5">
        <v>0.01</v>
      </c>
      <c r="H189" s="20">
        <v>0</v>
      </c>
      <c r="I189" s="5">
        <v>0</v>
      </c>
      <c r="J189" s="5">
        <v>0.02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0" spans="1:16" x14ac:dyDescent="0.15">
      <c r="A190" s="5">
        <f t="shared" si="6"/>
        <v>15</v>
      </c>
      <c r="B190" s="5">
        <v>4</v>
      </c>
      <c r="C190" s="20">
        <f>MAX(VLOOKUP(表3_3[[#This Row],[皮肤id]],表1[[id]:[魅力]],15,FALSE),100)*(1+VLOOKUP(表3_3[[#This Row],[星级]],[2]魅力系统!$E$41:$F$53,2,FALSE))</f>
        <v>5400</v>
      </c>
      <c r="D190" s="20">
        <f>表3_3[[#This Row],[星级]]^2*20000+20000*表3_3[[#This Row],[星级]]</f>
        <v>400000</v>
      </c>
      <c r="E190" s="5" t="str">
        <f>"["&amp;IF(表3_3[[#This Row],[星级]]=0,"","""w"&amp;500+表3_3[[#This Row],[皮肤id]]&amp;""","&amp;VLOOKUP(表3_3[[#This Row],[星级]],description!$C$1:$D$13,2,FALSE))&amp;"]"</f>
        <v>["w515",60]</v>
      </c>
      <c r="F190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["15z1","",""]</v>
      </c>
      <c r="G190" s="5">
        <v>0.02</v>
      </c>
      <c r="H190" s="20">
        <v>0</v>
      </c>
      <c r="I190" s="5">
        <v>0</v>
      </c>
      <c r="J190" s="5">
        <v>0.04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1" spans="1:16" x14ac:dyDescent="0.15">
      <c r="A191" s="5">
        <f t="shared" si="6"/>
        <v>15</v>
      </c>
      <c r="B191" s="5">
        <v>5</v>
      </c>
      <c r="C191" s="20">
        <f>MAX(VLOOKUP(表3_3[[#This Row],[皮肤id]],表1[[id]:[魅力]],15,FALSE),100)*(1+VLOOKUP(表3_3[[#This Row],[星级]],[2]魅力系统!$E$41:$F$53,2,FALSE))</f>
        <v>6300</v>
      </c>
      <c r="D191" s="20">
        <f>表3_3[[#This Row],[星级]]^2*20000+20000*表3_3[[#This Row],[星级]]</f>
        <v>600000</v>
      </c>
      <c r="E191" s="5" t="str">
        <f>"["&amp;IF(表3_3[[#This Row],[星级]]=0,"","""w"&amp;500+表3_3[[#This Row],[皮肤id]]&amp;""","&amp;VLOOKUP(表3_3[[#This Row],[星级]],description!$C$1:$D$13,2,FALSE))&amp;"]"</f>
        <v>["w515",100]</v>
      </c>
      <c r="F191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["15z1","15z2",""]</v>
      </c>
      <c r="G191" s="5">
        <v>0.02</v>
      </c>
      <c r="H191" s="20">
        <v>0</v>
      </c>
      <c r="I191" s="5">
        <v>0</v>
      </c>
      <c r="J191" s="5">
        <v>0.04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2" spans="1:16" x14ac:dyDescent="0.15">
      <c r="A192" s="5">
        <f t="shared" si="6"/>
        <v>15</v>
      </c>
      <c r="B192" s="5">
        <v>6</v>
      </c>
      <c r="C192" s="20">
        <f>MAX(VLOOKUP(表3_3[[#This Row],[皮肤id]],表1[[id]:[魅力]],15,FALSE),100)*(1+VLOOKUP(表3_3[[#This Row],[星级]],[2]魅力系统!$E$41:$F$53,2,FALSE))</f>
        <v>7200</v>
      </c>
      <c r="D192" s="20">
        <f>表3_3[[#This Row],[星级]]^2*20000+20000*表3_3[[#This Row],[星级]]</f>
        <v>840000</v>
      </c>
      <c r="E192" s="5" t="str">
        <f>"["&amp;IF(表3_3[[#This Row],[星级]]=0,"","""w"&amp;500+表3_3[[#This Row],[皮肤id]]&amp;""","&amp;VLOOKUP(表3_3[[#This Row],[星级]],description!$C$1:$D$13,2,FALSE))&amp;"]"</f>
        <v>["w515",200]</v>
      </c>
      <c r="F192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["15z1","15z2",""]</v>
      </c>
      <c r="G192" s="5">
        <v>0.02</v>
      </c>
      <c r="H192" s="20">
        <v>0</v>
      </c>
      <c r="I192" s="5">
        <v>0</v>
      </c>
      <c r="J192" s="5">
        <v>0.04</v>
      </c>
      <c r="K192" s="5">
        <v>0</v>
      </c>
      <c r="L192" s="5">
        <v>0</v>
      </c>
      <c r="M192" s="5">
        <v>0</v>
      </c>
      <c r="N192" s="5">
        <v>0</v>
      </c>
      <c r="O192" s="5">
        <v>0</v>
      </c>
      <c r="P192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3" spans="1:16" x14ac:dyDescent="0.15">
      <c r="A193" s="5">
        <f t="shared" si="6"/>
        <v>15</v>
      </c>
      <c r="B193" s="5">
        <v>7</v>
      </c>
      <c r="C193" s="20">
        <f>MAX(VLOOKUP(表3_3[[#This Row],[皮肤id]],表1[[id]:[魅力]],15,FALSE),100)*(1+VLOOKUP(表3_3[[#This Row],[星级]],[2]魅力系统!$E$41:$F$53,2,FALSE))</f>
        <v>8100</v>
      </c>
      <c r="D193" s="20">
        <f>表3_3[[#This Row],[星级]]^2*20000+20000*表3_3[[#This Row],[星级]]</f>
        <v>1120000</v>
      </c>
      <c r="E193" s="5" t="str">
        <f>"["&amp;IF(表3_3[[#This Row],[星级]]=0,"","""w"&amp;500+表3_3[[#This Row],[皮肤id]]&amp;""","&amp;VLOOKUP(表3_3[[#This Row],[星级]],description!$C$1:$D$13,2,FALSE))&amp;"]"</f>
        <v>["w515",400]</v>
      </c>
      <c r="F193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["15z1","15z2",""]</v>
      </c>
      <c r="G193" s="5">
        <v>0.03</v>
      </c>
      <c r="H193" s="20">
        <v>0</v>
      </c>
      <c r="I193" s="5">
        <v>0</v>
      </c>
      <c r="J193" s="5">
        <v>0.06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4" spans="1:16" x14ac:dyDescent="0.15">
      <c r="A194" s="5">
        <f t="shared" si="6"/>
        <v>15</v>
      </c>
      <c r="B194" s="5">
        <v>8</v>
      </c>
      <c r="C194" s="20">
        <f>MAX(VLOOKUP(表3_3[[#This Row],[皮肤id]],表1[[id]:[魅力]],15,FALSE),100)*(1+VLOOKUP(表3_3[[#This Row],[星级]],[2]魅力系统!$E$41:$F$53,2,FALSE))</f>
        <v>9000</v>
      </c>
      <c r="D194" s="20">
        <f>表3_3[[#This Row],[星级]]^2*20000+20000*表3_3[[#This Row],[星级]]</f>
        <v>1440000</v>
      </c>
      <c r="E194" s="5" t="str">
        <f>"["&amp;IF(表3_3[[#This Row],[星级]]=0,"","""w"&amp;500+表3_3[[#This Row],[皮肤id]]&amp;""","&amp;VLOOKUP(表3_3[[#This Row],[星级]],description!$C$1:$D$13,2,FALSE))&amp;"]"</f>
        <v>["w515",700]</v>
      </c>
      <c r="F194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["15z1","15z2","3jie"]</v>
      </c>
      <c r="G194" s="5">
        <v>0.03</v>
      </c>
      <c r="H194" s="20">
        <v>0</v>
      </c>
      <c r="I194" s="5">
        <v>0</v>
      </c>
      <c r="J194" s="5">
        <v>0.06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5" spans="1:16" x14ac:dyDescent="0.15">
      <c r="A195" s="5">
        <f t="shared" si="6"/>
        <v>15</v>
      </c>
      <c r="B195" s="5">
        <v>9</v>
      </c>
      <c r="C195" s="20">
        <f>MAX(VLOOKUP(表3_3[[#This Row],[皮肤id]],表1[[id]:[魅力]],15,FALSE),100)*(1+VLOOKUP(表3_3[[#This Row],[星级]],[2]魅力系统!$E$41:$F$53,2,FALSE))</f>
        <v>10800</v>
      </c>
      <c r="D195" s="20">
        <f>表3_3[[#This Row],[星级]]^2*20000+20000*表3_3[[#This Row],[星级]]</f>
        <v>1800000</v>
      </c>
      <c r="E195" s="5" t="str">
        <f>"["&amp;IF(表3_3[[#This Row],[星级]]=0,"","""w"&amp;500+表3_3[[#This Row],[皮肤id]]&amp;""","&amp;VLOOKUP(表3_3[[#This Row],[星级]],description!$C$1:$D$13,2,FALSE))&amp;"]"</f>
        <v>["w515",1000]</v>
      </c>
      <c r="F195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["15z1","15z2","3jie"]</v>
      </c>
      <c r="G195" s="5">
        <v>0.04</v>
      </c>
      <c r="H195" s="20">
        <v>0</v>
      </c>
      <c r="I195" s="5">
        <v>0</v>
      </c>
      <c r="J195" s="5">
        <v>0.08</v>
      </c>
      <c r="K195" s="5">
        <v>0</v>
      </c>
      <c r="L195" s="5">
        <v>0</v>
      </c>
      <c r="M195" s="5">
        <v>0</v>
      </c>
      <c r="N195" s="5">
        <v>0</v>
      </c>
      <c r="O195" s="5">
        <v>0</v>
      </c>
      <c r="P195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6" spans="1:16" x14ac:dyDescent="0.15">
      <c r="A196" s="5">
        <f t="shared" si="6"/>
        <v>15</v>
      </c>
      <c r="B196" s="5">
        <v>10</v>
      </c>
      <c r="C196" s="20">
        <f>MAX(VLOOKUP(表3_3[[#This Row],[皮肤id]],表1[[id]:[魅力]],15,FALSE),100)*(1+VLOOKUP(表3_3[[#This Row],[星级]],[2]魅力系统!$E$41:$F$53,2,FALSE))</f>
        <v>12600</v>
      </c>
      <c r="D196" s="20">
        <f>表3_3[[#This Row],[星级]]^2*20000+20000*表3_3[[#This Row],[星级]]</f>
        <v>2200000</v>
      </c>
      <c r="E196" s="5" t="str">
        <f>"["&amp;IF(表3_3[[#This Row],[星级]]=0,"","""w"&amp;500+表3_3[[#This Row],[皮肤id]]&amp;""","&amp;VLOOKUP(表3_3[[#This Row],[星级]],description!$C$1:$D$13,2,FALSE))&amp;"]"</f>
        <v>["w515",1800]</v>
      </c>
      <c r="F196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["15z1","15z2","4jie"]</v>
      </c>
      <c r="G196" s="5">
        <v>0.04</v>
      </c>
      <c r="H196" s="20">
        <v>0</v>
      </c>
      <c r="I196" s="5">
        <v>0</v>
      </c>
      <c r="J196" s="5">
        <v>0.08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97" spans="1:16" x14ac:dyDescent="0.15">
      <c r="A197" s="5">
        <f t="shared" si="6"/>
        <v>15</v>
      </c>
      <c r="B197" s="5">
        <v>11</v>
      </c>
      <c r="C197" s="20">
        <f>MAX(VLOOKUP(表3_3[[#This Row],[皮肤id]],表1[[id]:[魅力]],15,FALSE),100)*(1+VLOOKUP(表3_3[[#This Row],[星级]],[2]魅力系统!$E$41:$F$53,2,FALSE))</f>
        <v>14400</v>
      </c>
      <c r="D197" s="20">
        <f>表3_3[[#This Row],[星级]]^2*20000+20000*表3_3[[#This Row],[星级]]</f>
        <v>2640000</v>
      </c>
      <c r="E197" s="5" t="str">
        <f>"["&amp;IF(表3_3[[#This Row],[星级]]=0,"","""w"&amp;500+表3_3[[#This Row],[皮肤id]]&amp;""","&amp;VLOOKUP(表3_3[[#This Row],[星级]],description!$C$1:$D$13,2,FALSE))&amp;"]"</f>
        <v>["w515",2600]</v>
      </c>
      <c r="F197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["15z1","15z2","4jie"]</v>
      </c>
      <c r="G197" s="5">
        <v>0.05</v>
      </c>
      <c r="H197" s="20">
        <v>0</v>
      </c>
      <c r="I197" s="5">
        <v>0</v>
      </c>
      <c r="J197" s="5">
        <v>0.1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98" spans="1:16" x14ac:dyDescent="0.15">
      <c r="A198" s="5">
        <f t="shared" si="6"/>
        <v>15</v>
      </c>
      <c r="B198" s="5">
        <v>12</v>
      </c>
      <c r="C198" s="20">
        <f>MAX(VLOOKUP(表3_3[[#This Row],[皮肤id]],表1[[id]:[魅力]],15,FALSE),100)*(1+VLOOKUP(表3_3[[#This Row],[星级]],[2]魅力系统!$E$41:$F$53,2,FALSE))</f>
        <v>16200</v>
      </c>
      <c r="D198" s="20">
        <f>表3_3[[#This Row],[星级]]^2*20000+20000*表3_3[[#This Row],[星级]]</f>
        <v>3120000</v>
      </c>
      <c r="E198" s="5" t="str">
        <f>"["&amp;IF(表3_3[[#This Row],[星级]]=0,"","""w"&amp;500+表3_3[[#This Row],[皮肤id]]&amp;""","&amp;VLOOKUP(表3_3[[#This Row],[星级]],description!$C$1:$D$13,2,FALSE))&amp;"]"</f>
        <v>["w515",3600]</v>
      </c>
      <c r="F198" s="5" t="str">
        <f>"["""&amp;IF(表3_3[[#This Row],[星级]]&gt;1,IF(表3_3[[#This Row],[皮肤id]]&lt;10,"0"&amp;表3_3[[#This Row],[皮肤id]],表3_3[[#This Row],[皮肤id]])&amp;"z1""","""")&amp;","&amp;IF(表3_3[[#This Row],[星级]]&gt;4,""""&amp;IF(表3_3[[#This Row],[皮肤id]]&lt;10,"0"&amp;表3_3[[#This Row],[皮肤id]],表3_3[[#This Row],[皮肤id]])&amp;"z2""","""""")&amp;","""&amp;IF(表3_3[[#This Row],[星级]]&gt;9,"4jie""",IF(表3_3[[#This Row],[星级]]&gt;7,"3jie""",""""))&amp;"]"</f>
        <v>["15z1","15z2","4jie"]</v>
      </c>
      <c r="G198" s="5">
        <v>0.05</v>
      </c>
      <c r="H198" s="20">
        <v>0</v>
      </c>
      <c r="I198" s="5">
        <v>0</v>
      </c>
      <c r="J198" s="5">
        <v>0.1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11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</sheetData>
  <phoneticPr fontId="7" type="noConversion"/>
  <dataValidations disablePrompts="1" count="2">
    <dataValidation allowBlank="1" showInputMessage="1" showErrorMessage="1" promptTitle="固定值——————————————————————" prompt="比赛结束时，若使用此属性，则提高" sqref="H3:I3" xr:uid="{00000000-0002-0000-0300-000000000000}"/>
    <dataValidation allowBlank="1" showInputMessage="1" showErrorMessage="1" promptTitle="百分比——————————————————————" prompt="捕获到奖金鱼，算上此百分比增量_x000a_向下取整" sqref="G3" xr:uid="{00000000-0002-0000-0300-00000100000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description</vt:lpstr>
      <vt:lpstr>weapons_cfg</vt:lpstr>
      <vt:lpstr>upgrade_cfg</vt:lpstr>
      <vt:lpstr>star_cfg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2017-12-12T05:59:16Z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