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430" activeTab="2" xr2:uid="{00000000-000D-0000-FFFF-FFFF00000000}"/>
  </bookViews>
  <sheets>
    <sheet name="description" sheetId="1" r:id="rId1"/>
    <sheet name="rankgame_cfg" sheetId="6" r:id="rId2"/>
    <sheet name="ranklist_cfg" sheetId="8" r:id="rId3"/>
  </sheets>
  <functionGroups builtInGroupCount="19"/>
  <calcPr calcId="171027"/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</calcChain>
</file>

<file path=xl/sharedStrings.xml><?xml version="1.0" encoding="utf-8"?>
<sst xmlns="http://schemas.openxmlformats.org/spreadsheetml/2006/main" count="342" uniqueCount="179">
  <si>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</si>
  <si>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</si>
  <si>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</si>
  <si>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</si>
  <si>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</si>
  <si>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</si>
  <si>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</si>
  <si>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</si>
  <si>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</si>
  <si>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</si>
  <si>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</si>
  <si>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</si>
  <si>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</si>
  <si>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id</t>
    <phoneticPr fontId="3" type="noConversion"/>
  </si>
  <si>
    <t>int</t>
    <phoneticPr fontId="3" type="noConversion"/>
  </si>
  <si>
    <t>table</t>
    <phoneticPr fontId="3" type="noConversion"/>
  </si>
  <si>
    <t>排名区间</t>
    <phoneticPr fontId="3" type="noConversion"/>
  </si>
  <si>
    <t>赛季奖励</t>
    <phoneticPr fontId="3" type="noConversion"/>
  </si>
  <si>
    <t>匹配机器人时间</t>
    <phoneticPr fontId="3" type="noConversion"/>
  </si>
  <si>
    <t>time</t>
    <phoneticPr fontId="3" type="noConversion"/>
  </si>
  <si>
    <t>获胜宝箱</t>
    <phoneticPr fontId="3" type="noConversion"/>
  </si>
  <si>
    <t>seasonreward</t>
    <phoneticPr fontId="3" type="noConversion"/>
  </si>
  <si>
    <t>name</t>
    <phoneticPr fontId="3" type="noConversion"/>
  </si>
  <si>
    <t>string</t>
    <phoneticPr fontId="3" type="noConversion"/>
  </si>
  <si>
    <t>段位名称</t>
    <phoneticPr fontId="3" type="noConversion"/>
  </si>
  <si>
    <t>排名类型</t>
    <phoneticPr fontId="3" type="noConversion"/>
  </si>
  <si>
    <t>奖励</t>
    <phoneticPr fontId="3" type="noConversion"/>
  </si>
  <si>
    <t>[4,10]</t>
    <phoneticPr fontId="3" type="noConversion"/>
  </si>
  <si>
    <t>[101,1000]</t>
    <phoneticPr fontId="3" type="noConversion"/>
  </si>
  <si>
    <t>type</t>
    <phoneticPr fontId="3" type="noConversion"/>
  </si>
  <si>
    <t>interval</t>
    <phoneticPr fontId="3" type="noConversion"/>
  </si>
  <si>
    <t>reward</t>
    <phoneticPr fontId="3" type="noConversion"/>
  </si>
  <si>
    <t>[1,1]</t>
    <phoneticPr fontId="3" type="noConversion"/>
  </si>
  <si>
    <t>首胜宝箱</t>
    <phoneticPr fontId="3" type="noConversion"/>
  </si>
  <si>
    <t>treasure1</t>
    <phoneticPr fontId="3" type="noConversion"/>
  </si>
  <si>
    <t>treasure2</t>
    <phoneticPr fontId="3" type="noConversion"/>
  </si>
  <si>
    <t>int</t>
    <phoneticPr fontId="3" type="noConversion"/>
  </si>
  <si>
    <t>minranking</t>
    <phoneticPr fontId="3" type="noConversion"/>
  </si>
  <si>
    <t>maxranking</t>
    <phoneticPr fontId="3" type="noConversion"/>
  </si>
  <si>
    <t>最低排名</t>
    <phoneticPr fontId="3" type="noConversion"/>
  </si>
  <si>
    <t>最高排名</t>
    <phoneticPr fontId="3" type="noConversion"/>
  </si>
  <si>
    <t>int</t>
    <phoneticPr fontId="3" type="noConversion"/>
  </si>
  <si>
    <t>table</t>
    <phoneticPr fontId="3" type="noConversion"/>
  </si>
  <si>
    <t>需要积分</t>
    <phoneticPr fontId="3" type="noConversion"/>
  </si>
  <si>
    <t>integral</t>
    <phoneticPr fontId="3" type="noConversion"/>
  </si>
  <si>
    <t>参数</t>
    <phoneticPr fontId="3" type="noConversion"/>
  </si>
  <si>
    <t>value</t>
    <phoneticPr fontId="3" type="noConversion"/>
  </si>
  <si>
    <t>rankgame_name_1</t>
    <phoneticPr fontId="3" type="noConversion"/>
  </si>
  <si>
    <t>rankgame_name_2</t>
  </si>
  <si>
    <t>rankgame_name_3</t>
  </si>
  <si>
    <t>rankgame_name_4</t>
  </si>
  <si>
    <t>rankgame_name_5</t>
  </si>
  <si>
    <t>rankgame_name_6</t>
  </si>
  <si>
    <t>rankgame_name_7</t>
  </si>
  <si>
    <t>rankgame_name_8</t>
  </si>
  <si>
    <t>rankgame_name_9</t>
  </si>
  <si>
    <t>rankgame_name_10</t>
  </si>
  <si>
    <t>rankgame_name_11</t>
  </si>
  <si>
    <t>rankgame_name_12</t>
  </si>
  <si>
    <t>rankgame_name_13</t>
  </si>
  <si>
    <t>rankgame_name_14</t>
  </si>
  <si>
    <t>rankgame_name_15</t>
  </si>
  <si>
    <t>rankgame_name_16</t>
  </si>
  <si>
    <t>rankgame_name_17</t>
  </si>
  <si>
    <t>rankgame_name_18</t>
  </si>
  <si>
    <t>rankgame_name_19</t>
  </si>
  <si>
    <t>rankgame_name_20</t>
  </si>
  <si>
    <t>rankgame_name_21</t>
  </si>
  <si>
    <t>rankgame_name_22</t>
  </si>
  <si>
    <t>rankgame_name_23</t>
  </si>
  <si>
    <t>rankgame_name_24</t>
  </si>
  <si>
    <t>rankgame_name_25</t>
  </si>
  <si>
    <t>rankgame_name_26</t>
  </si>
  <si>
    <t>rankgame_name_27</t>
  </si>
  <si>
    <t>阶位</t>
    <phoneticPr fontId="3" type="noConversion"/>
  </si>
  <si>
    <t>int</t>
    <phoneticPr fontId="3" type="noConversion"/>
  </si>
  <si>
    <t>level</t>
    <phoneticPr fontId="3" type="noConversion"/>
  </si>
  <si>
    <t>table</t>
    <phoneticPr fontId="3" type="noConversion"/>
  </si>
  <si>
    <t>序号</t>
    <phoneticPr fontId="3" type="noConversion"/>
  </si>
  <si>
    <t>rankid</t>
    <phoneticPr fontId="3" type="noConversion"/>
  </si>
  <si>
    <t>段位</t>
    <phoneticPr fontId="3" type="noConversion"/>
  </si>
  <si>
    <t>机器人难度</t>
    <phoneticPr fontId="3" type="noConversion"/>
  </si>
  <si>
    <t>difficult</t>
    <phoneticPr fontId="3" type="noConversion"/>
  </si>
  <si>
    <t>float</t>
    <phoneticPr fontId="3" type="noConversion"/>
  </si>
  <si>
    <t>[[10,670],[11,240],[12,60],[13,30]]</t>
    <phoneticPr fontId="3" type="noConversion"/>
  </si>
  <si>
    <t>description</t>
    <phoneticPr fontId="3" type="noConversion"/>
  </si>
  <si>
    <t>奖励说明文字</t>
    <phoneticPr fontId="3" type="noConversion"/>
  </si>
  <si>
    <t>rank_reward_tip1</t>
    <phoneticPr fontId="3" type="noConversion"/>
  </si>
  <si>
    <t>rank_reward_tip2</t>
  </si>
  <si>
    <t>rank_reward_tip3</t>
  </si>
  <si>
    <t>rank_reward_tip4</t>
  </si>
  <si>
    <t>rank_reward_tip5</t>
  </si>
  <si>
    <t>rank_reward_tip6</t>
  </si>
  <si>
    <t>rank_reward_tip7</t>
  </si>
  <si>
    <t>[2,2]</t>
    <phoneticPr fontId="3" type="noConversion"/>
  </si>
  <si>
    <t>[3,3]</t>
    <phoneticPr fontId="3" type="noConversion"/>
  </si>
  <si>
    <t>[11,30]</t>
    <phoneticPr fontId="3" type="noConversion"/>
  </si>
  <si>
    <t>[31,100]</t>
    <phoneticPr fontId="3" type="noConversion"/>
  </si>
  <si>
    <t>[["i001",30000],["i240",4]]</t>
    <phoneticPr fontId="3" type="noConversion"/>
  </si>
  <si>
    <t>[["i001",5000]]</t>
    <phoneticPr fontId="3" type="noConversion"/>
  </si>
  <si>
    <t>[["i001",15000],["i230",2]]</t>
    <phoneticPr fontId="3" type="noConversion"/>
  </si>
  <si>
    <t>[["i001",10000],["i230",1]]</t>
    <phoneticPr fontId="3" type="noConversion"/>
  </si>
  <si>
    <t>[["i001",50000],["i240",6]]</t>
    <phoneticPr fontId="3" type="noConversion"/>
  </si>
  <si>
    <t>核弹参数</t>
    <phoneticPr fontId="3" type="noConversion"/>
  </si>
  <si>
    <t>nbgold</t>
    <phoneticPr fontId="3" type="noConversion"/>
  </si>
  <si>
    <t>int</t>
    <phoneticPr fontId="3" type="noConversion"/>
  </si>
  <si>
    <t>charm</t>
    <phoneticPr fontId="3" type="noConversion"/>
  </si>
  <si>
    <t>int</t>
    <phoneticPr fontId="3" type="noConversion"/>
  </si>
  <si>
    <t>魅力</t>
    <phoneticPr fontId="3" type="noConversion"/>
  </si>
  <si>
    <t>[["i001",40000],["i240",5]]</t>
    <phoneticPr fontId="3" type="noConversion"/>
  </si>
  <si>
    <t>[["i001",10000],["i240",1]]</t>
    <phoneticPr fontId="3" type="noConversion"/>
  </si>
  <si>
    <t>[["i001",1]]</t>
    <phoneticPr fontId="3" type="noConversion"/>
  </si>
  <si>
    <t>rank_reward_tip8</t>
  </si>
  <si>
    <t>[["i001",25000],["i240",3]]</t>
    <phoneticPr fontId="3" type="noConversion"/>
  </si>
  <si>
    <t>[["i001",20000],["i240",2]]</t>
    <phoneticPr fontId="3" type="noConversion"/>
  </si>
  <si>
    <t>[["i001",15000],["i240",1]]</t>
    <phoneticPr fontId="3" type="noConversion"/>
  </si>
  <si>
    <t>[["i001",50000],["i230",8]]</t>
    <phoneticPr fontId="3" type="noConversion"/>
  </si>
  <si>
    <t>[["i001",40000],["i230",6]]</t>
    <phoneticPr fontId="3" type="noConversion"/>
  </si>
  <si>
    <t>[["i001",30000],["i230",5]]</t>
    <phoneticPr fontId="3" type="noConversion"/>
  </si>
  <si>
    <t>[["i001",25000],["i230",4]]</t>
    <phoneticPr fontId="3" type="noConversion"/>
  </si>
  <si>
    <t>[["i001",20000],["i230",3]]</t>
    <phoneticPr fontId="3" type="noConversion"/>
  </si>
  <si>
    <t>[1001,10000]</t>
    <phoneticPr fontId="3" type="noConversion"/>
  </si>
  <si>
    <t>[["i001",10000],["i002",20],["i251",1]]</t>
  </si>
  <si>
    <t>[["i001",20000],["i002",40],["i251",1]]</t>
  </si>
  <si>
    <t>[["i001",30000],["i002",60],["i251",1]]</t>
  </si>
  <si>
    <t>[["i001",40000],["i002",80],["i251",1]]</t>
  </si>
  <si>
    <t>[["i001",50000],["i002",100],["i251",1]]</t>
  </si>
  <si>
    <t>[["i001",60000],["i002",120],["i252",1]]</t>
  </si>
  <si>
    <t>[["i001",70000],["i002",140],["i252",1]]</t>
  </si>
  <si>
    <t>[["i001",80000],["i002",160],["i252",1]]</t>
  </si>
  <si>
    <t>[["i001",90000],["i002",180],["i252",1]]</t>
  </si>
  <si>
    <t>[["i001",100000],["i002",200],["i252",1]]</t>
  </si>
  <si>
    <t>[["i001",110000],["i002",220],["i253",1]]</t>
  </si>
  <si>
    <t>[["i001",120000],["i002",240],["i253",1]]</t>
  </si>
  <si>
    <t>[["i001",130000],["i002",260],["i253",1]]</t>
  </si>
  <si>
    <t>[["i001",140000],["i002",280],["i253",1]]</t>
  </si>
  <si>
    <t>[["i001",150000],["i002",300],["i253",1]]</t>
  </si>
  <si>
    <t>[["i001",160000],["i002",320],["i254",1]]</t>
  </si>
  <si>
    <t>[["i001",170000],["i002",340],["i254",1]]</t>
  </si>
  <si>
    <t>[["i001",180000],["i002",360],["i254",1]]</t>
  </si>
  <si>
    <t>[["i001",190000],["i002",380],["i254",1]]</t>
  </si>
  <si>
    <t>[["i001",200000],["i002",400],["i254",1]]</t>
  </si>
  <si>
    <t>[["i001",220000],["i002",440],["i255",1]]</t>
  </si>
  <si>
    <t>[["i001",240000],["i002",480],["i255",1]]</t>
  </si>
  <si>
    <t>[["i001",260000],["i002",520],["i255",1]]</t>
  </si>
  <si>
    <t>[["i001",280000],["i002",560],["i255",1]]</t>
  </si>
  <si>
    <t>[["i001",300000],["i002",600],["i255",1]]</t>
  </si>
  <si>
    <t>[["i001",400000],["i002",800],["i256",1]]</t>
  </si>
  <si>
    <t>[["i001",500000],["i002",1000],["i257",1]]</t>
  </si>
  <si>
    <t>[["i400",6],["i006",6]]</t>
    <phoneticPr fontId="3" type="noConversion"/>
  </si>
  <si>
    <t>[["i400",5],["i006",5]]</t>
    <phoneticPr fontId="3" type="noConversion"/>
  </si>
  <si>
    <t>[["i400",4],["i006",4]]</t>
    <phoneticPr fontId="3" type="noConversion"/>
  </si>
  <si>
    <t>[["i400",3],["i006",3]]</t>
    <phoneticPr fontId="3" type="noConversion"/>
  </si>
  <si>
    <t>[["i400",2],["i006",3]]</t>
    <phoneticPr fontId="3" type="noConversion"/>
  </si>
  <si>
    <t>[["i400",2],["i006",2]]</t>
    <phoneticPr fontId="3" type="noConversion"/>
  </si>
  <si>
    <t>[["i006",3],["i240",12]]</t>
    <phoneticPr fontId="3" type="noConversion"/>
  </si>
  <si>
    <t>[["i006",3],["i240",10]]</t>
    <phoneticPr fontId="3" type="noConversion"/>
  </si>
  <si>
    <t>[["i006",2],["i240",8]]</t>
    <phoneticPr fontId="3" type="noConversion"/>
  </si>
  <si>
    <t>[["i006",2],["i240",6]]</t>
    <phoneticPr fontId="3" type="noConversion"/>
  </si>
  <si>
    <t>[["i006",2],["i240",5]]</t>
    <phoneticPr fontId="3" type="noConversion"/>
  </si>
  <si>
    <t>[["i006",1],["i240",4]]</t>
    <phoneticPr fontId="3" type="noConversion"/>
  </si>
  <si>
    <t>[["i006",1],["i240",2]]</t>
    <phoneticPr fontId="3" type="noConversion"/>
  </si>
  <si>
    <t>[["i240",1]]</t>
    <phoneticPr fontId="3" type="noConversion"/>
  </si>
  <si>
    <t>[["i400",1]]</t>
    <phoneticPr fontId="3" type="noConversion"/>
  </si>
  <si>
    <t>[["i002",16],["i400",12]]</t>
    <phoneticPr fontId="3" type="noConversion"/>
  </si>
  <si>
    <t>[["i002",14],["i400",10]]</t>
    <phoneticPr fontId="3" type="noConversion"/>
  </si>
  <si>
    <t>[["i002",12],["i400",8]]</t>
    <phoneticPr fontId="3" type="noConversion"/>
  </si>
  <si>
    <t>[["i002",10],["i400",6]]</t>
    <phoneticPr fontId="3" type="noConversion"/>
  </si>
  <si>
    <t>[["i002",8],["i400",4]]</t>
    <phoneticPr fontId="3" type="noConversion"/>
  </si>
  <si>
    <t>[["i002",6],["i400",2]]</t>
    <phoneticPr fontId="3" type="noConversion"/>
  </si>
  <si>
    <t>[["i002",4],["i400",1]]</t>
    <phoneticPr fontId="3" type="noConversion"/>
  </si>
  <si>
    <t>[["i400",1],["i006",1]]</t>
    <phoneticPr fontId="3" type="noConversion"/>
  </si>
  <si>
    <t>[["i002",16],["i240",12]]</t>
    <phoneticPr fontId="3" type="noConversion"/>
  </si>
  <si>
    <t>[["i002",14],["i240",10]]</t>
    <phoneticPr fontId="3" type="noConversion"/>
  </si>
  <si>
    <t>[["i002",12],["i240",8]]</t>
    <phoneticPr fontId="3" type="noConversion"/>
  </si>
  <si>
    <t>[["i002",10],["i240",6]]</t>
    <phoneticPr fontId="3" type="noConversion"/>
  </si>
  <si>
    <t>[["i002",8],["i240",5]]</t>
    <phoneticPr fontId="3" type="noConversion"/>
  </si>
  <si>
    <t>[["i002",6],["i240",4]]</t>
    <phoneticPr fontId="3" type="noConversion"/>
  </si>
  <si>
    <t>[["i002",4],["i240",2]]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</si>
</sst>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49" fontId="1" fillId="2" borderId="1" xfId="0" applyNumberFormat="1" applyFont="1" applyFill="1" applyBorder="1" applyAlignment="1">
      <alignment horizontal="right"/>
    </xf>
    <xf numFmtId="49" fontId="1" fillId="3" borderId="4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1">
    <cellStyle name="常规" xfId="0" builtinId="0"/>
  </cellStyles>
  <dxfs count="8"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0</xdr:col>
      <xdr:colOff>304800</xdr:colOff>
      <xdr:row>2</xdr:row>
      <xdr:rowOff>76200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839A0697-6328-45A6-8BC5-13DB9E33A5E8}"/>
            </a:ext>
          </a:extLst>
        </xdr:cNvPr>
        <xdr:cNvSpPr/>
      </xdr:nvSpPr>
      <xdr:spPr>
        <a:xfrm>
          <a:off x="19050" y="3810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38100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5219C2F1-4C39-4420-B8D5-9830DDA9B71A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3:O30" totalsRowShown="0" headerRowDxfId="7" tableBorderDxfId="6">
  <autoFilter ref="A3:O30" xr:uid="{00000000-0009-0000-0100-000001000000}"/>
  <tableColumns count="15">
    <tableColumn id="1" xr3:uid="{00000000-0010-0000-0000-000001000000}" name="序号"/>
    <tableColumn id="8" xr3:uid="{00000000-0010-0000-0000-000008000000}" name="段位"/>
    <tableColumn id="4" xr3:uid="{00000000-0010-0000-0000-000004000000}" name="阶位"/>
    <tableColumn id="2" xr3:uid="{00000000-0010-0000-0000-000002000000}" name="匹配机器人时间" dataDxfId="5"/>
    <tableColumn id="13" xr3:uid="{00000000-0010-0000-0000-00000D000000}" name="机器人难度" dataDxfId="4">
      <calculatedColumnFormula>MIN(IF(表3_2[[#This Row],[序号]]=1,0.6,E3+0.015),1)</calculatedColumnFormula>
    </tableColumn>
    <tableColumn id="3" xr3:uid="{00000000-0010-0000-0000-000003000000}" name="最低排名"/>
    <tableColumn id="10" xr3:uid="{00000000-0010-0000-0000-00000A000000}" name="最高排名"/>
    <tableColumn id="11" xr3:uid="{00000000-0010-0000-0000-00000B000000}" name="需要积分"/>
    <tableColumn id="12" xr3:uid="{00000000-0010-0000-0000-00000C000000}" name="参数"/>
    <tableColumn id="15" xr3:uid="{00000000-0010-0000-0000-00000F000000}" name="魅力" dataDxfId="3"/>
    <tableColumn id="14" xr3:uid="{00000000-0010-0000-0000-00000E000000}" name="核弹参数"/>
    <tableColumn id="5" xr3:uid="{00000000-0010-0000-0000-000005000000}" name="赛季奖励"/>
    <tableColumn id="6" xr3:uid="{00000000-0010-0000-0000-000006000000}" name="首胜宝箱"/>
    <tableColumn id="9" xr3:uid="{00000000-0010-0000-0000-000009000000}" name="获胜宝箱"/>
    <tableColumn id="7" xr3:uid="{00000000-0010-0000-0000-000007000000}" name="段位名称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表3_35" displayName="表3_35" ref="A3:D67" totalsRowShown="0" headerRowDxfId="2" tableBorderDxfId="1">
  <autoFilter ref="A3:D67" xr:uid="{00000000-0009-0000-0100-000004000000}"/>
  <tableColumns count="4">
    <tableColumn id="1" xr3:uid="{00000000-0010-0000-0100-000001000000}" name="排名类型"/>
    <tableColumn id="2" xr3:uid="{00000000-0010-0000-0100-000002000000}" name="排名区间" dataDxfId="0"/>
    <tableColumn id="3" xr3:uid="{00000000-0010-0000-0100-000003000000}" name="奖励"/>
    <tableColumn id="4" xr3:uid="{00000000-0010-0000-0100-000004000000}" name="奖励说明文字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4" t="s">
        <v>8</v>
      </c>
      <c r="B6" s="15"/>
    </row>
    <row r="7" spans="1:2" x14ac:dyDescent="0.15">
      <c r="A7" s="15"/>
      <c r="B7" s="15"/>
    </row>
    <row r="8" spans="1:2" x14ac:dyDescent="0.15">
      <c r="A8" s="15"/>
      <c r="B8" s="15"/>
    </row>
    <row r="9" spans="1:2" x14ac:dyDescent="0.15">
      <c r="A9" s="15"/>
      <c r="B9" s="15"/>
    </row>
    <row r="10" spans="1:2" x14ac:dyDescent="0.15">
      <c r="A10" s="15"/>
      <c r="B10" s="15"/>
    </row>
    <row r="11" spans="1:2" x14ac:dyDescent="0.15">
      <c r="A11" s="15"/>
      <c r="B11" s="15"/>
    </row>
    <row r="12" spans="1:2" x14ac:dyDescent="0.15">
      <c r="A12" s="15"/>
      <c r="B12" s="15"/>
    </row>
    <row r="13" spans="1:2" x14ac:dyDescent="0.15">
      <c r="A13" s="15"/>
      <c r="B13" s="15"/>
    </row>
    <row r="14" spans="1:2" x14ac:dyDescent="0.15">
      <c r="A14" s="15"/>
      <c r="B14" s="15"/>
    </row>
    <row r="15" spans="1:2" x14ac:dyDescent="0.15">
      <c r="A15" s="15"/>
      <c r="B15" s="15"/>
    </row>
    <row r="16" spans="1:2" ht="13.15" customHeight="1" x14ac:dyDescent="0.15">
      <c r="A16" s="15"/>
      <c r="B16" s="15"/>
    </row>
    <row r="17" spans="1:2" ht="4.1500000000000004" customHeight="1" x14ac:dyDescent="0.15">
      <c r="A17" s="15"/>
      <c r="B17" s="15"/>
    </row>
    <row r="18" spans="1:2" hidden="1" x14ac:dyDescent="0.15">
      <c r="A18" s="15"/>
      <c r="B18" s="15"/>
    </row>
    <row r="19" spans="1:2" hidden="1" x14ac:dyDescent="0.15">
      <c r="A19" s="15"/>
      <c r="B19" s="15"/>
    </row>
    <row r="20" spans="1:2" hidden="1" x14ac:dyDescent="0.15">
      <c r="A20" s="15"/>
      <c r="B20" s="15"/>
    </row>
    <row r="21" spans="1:2" ht="22.9" customHeight="1" x14ac:dyDescent="0.15">
      <c r="A21" s="15"/>
      <c r="B21" s="15"/>
    </row>
    <row r="22" spans="1:2" ht="45" customHeight="1" x14ac:dyDescent="0.15">
      <c r="A22" s="15"/>
      <c r="B22" s="15"/>
    </row>
    <row r="23" spans="1:2" ht="51" hidden="1" customHeight="1" x14ac:dyDescent="0.15">
      <c r="A23" s="15"/>
      <c r="B23" s="15"/>
    </row>
    <row r="24" spans="1:2" x14ac:dyDescent="0.15">
      <c r="A24" s="13" t="s">
        <v>9</v>
      </c>
      <c r="B24" s="13"/>
    </row>
    <row r="25" spans="1:2" x14ac:dyDescent="0.15">
      <c r="A25" s="13" t="s">
        <v>10</v>
      </c>
      <c r="B25" s="13"/>
    </row>
    <row r="26" spans="1:2" x14ac:dyDescent="0.15">
      <c r="A26" s="13" t="s">
        <v>11</v>
      </c>
      <c r="B26" s="13"/>
    </row>
    <row r="27" spans="1:2" x14ac:dyDescent="0.15">
      <c r="A27" s="13"/>
      <c r="B27" s="13"/>
    </row>
    <row r="28" spans="1:2" x14ac:dyDescent="0.15">
      <c r="A28" s="13"/>
      <c r="B28" s="13"/>
    </row>
    <row r="29" spans="1:2" x14ac:dyDescent="0.15">
      <c r="A29" s="13"/>
      <c r="B29" s="13"/>
    </row>
    <row r="30" spans="1:2" x14ac:dyDescent="0.15">
      <c r="A30" s="13"/>
      <c r="B30" s="13"/>
    </row>
    <row r="31" spans="1:2" x14ac:dyDescent="0.15">
      <c r="A31" s="13"/>
      <c r="B31" s="13"/>
    </row>
    <row r="32" spans="1:2" x14ac:dyDescent="0.15">
      <c r="A32" s="13"/>
      <c r="B32" s="13"/>
    </row>
    <row r="33" spans="1:2" x14ac:dyDescent="0.15">
      <c r="A33" s="13"/>
      <c r="B33" s="13"/>
    </row>
    <row r="34" spans="1:2" x14ac:dyDescent="0.15">
      <c r="A34" s="13"/>
      <c r="B34" s="13"/>
    </row>
    <row r="35" spans="1:2" x14ac:dyDescent="0.15">
      <c r="A35" s="13"/>
      <c r="B35" s="13"/>
    </row>
    <row r="36" spans="1:2" x14ac:dyDescent="0.15">
      <c r="A36" s="13"/>
      <c r="B36" s="13"/>
    </row>
    <row r="37" spans="1:2" x14ac:dyDescent="0.15">
      <c r="A37" s="13"/>
      <c r="B37" s="13"/>
    </row>
    <row r="38" spans="1:2" x14ac:dyDescent="0.15">
      <c r="A38" s="13"/>
      <c r="B38" s="13"/>
    </row>
    <row r="39" spans="1:2" x14ac:dyDescent="0.15">
      <c r="A39" s="13"/>
      <c r="B39" s="13"/>
    </row>
    <row r="40" spans="1:2" x14ac:dyDescent="0.15">
      <c r="A40" s="13"/>
      <c r="B40" s="13"/>
    </row>
    <row r="41" spans="1:2" x14ac:dyDescent="0.15">
      <c r="A41" s="13"/>
      <c r="B41" s="13"/>
    </row>
    <row r="42" spans="1:2" x14ac:dyDescent="0.15">
      <c r="A42" s="13"/>
      <c r="B42" s="13"/>
    </row>
    <row r="43" spans="1:2" x14ac:dyDescent="0.15">
      <c r="A43" s="13"/>
      <c r="B43" s="13"/>
    </row>
    <row r="44" spans="1:2" x14ac:dyDescent="0.15">
      <c r="A44" s="13"/>
      <c r="B44" s="13"/>
    </row>
    <row r="45" spans="1:2" x14ac:dyDescent="0.15">
      <c r="A45" s="13"/>
      <c r="B45" s="13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0"/>
  <sheetViews>
    <sheetView topLeftCell="B1" workbookViewId="0">
      <selection activeCell="K20" sqref="K20"/>
    </sheetView>
  </sheetViews>
  <sheetFormatPr defaultRowHeight="13.5" x14ac:dyDescent="0.15"/>
  <cols>
    <col min="1" max="2" width="10.625" customWidth="1"/>
    <col min="3" max="3" width="9" customWidth="1"/>
    <col min="4" max="4" width="16.125" bestFit="1" customWidth="1"/>
    <col min="5" max="5" width="11.25" customWidth="1"/>
    <col min="6" max="6" width="14.25" bestFit="1" customWidth="1"/>
    <col min="7" max="7" width="14.25" customWidth="1"/>
    <col min="8" max="8" width="12.375" bestFit="1" customWidth="1"/>
    <col min="9" max="9" width="7" bestFit="1" customWidth="1"/>
    <col min="10" max="10" width="7" customWidth="1"/>
    <col min="11" max="11" width="10.5" bestFit="1" customWidth="1"/>
    <col min="12" max="12" width="42.375" customWidth="1"/>
    <col min="13" max="13" width="14.25" customWidth="1"/>
    <col min="14" max="14" width="37.125" bestFit="1" customWidth="1"/>
    <col min="15" max="15" width="18.375" bestFit="1" customWidth="1"/>
  </cols>
  <sheetData>
    <row r="1" spans="1:15" ht="16.5" x14ac:dyDescent="0.3">
      <c r="A1" s="8" t="s">
        <v>13</v>
      </c>
      <c r="B1" s="8" t="s">
        <v>79</v>
      </c>
      <c r="C1" s="1" t="s">
        <v>76</v>
      </c>
      <c r="D1" s="1" t="s">
        <v>19</v>
      </c>
      <c r="E1" s="1" t="s">
        <v>82</v>
      </c>
      <c r="F1" s="1" t="s">
        <v>37</v>
      </c>
      <c r="G1" s="1" t="s">
        <v>38</v>
      </c>
      <c r="H1" s="1" t="s">
        <v>44</v>
      </c>
      <c r="I1" s="1" t="s">
        <v>46</v>
      </c>
      <c r="J1" s="1" t="s">
        <v>106</v>
      </c>
      <c r="K1" s="1" t="s">
        <v>104</v>
      </c>
      <c r="L1" s="1" t="s">
        <v>21</v>
      </c>
      <c r="M1" s="1" t="s">
        <v>34</v>
      </c>
      <c r="N1" s="1" t="s">
        <v>35</v>
      </c>
      <c r="O1" s="1" t="s">
        <v>22</v>
      </c>
    </row>
    <row r="2" spans="1:15" ht="16.5" x14ac:dyDescent="0.15">
      <c r="A2" s="9" t="s">
        <v>12</v>
      </c>
      <c r="B2" s="9" t="s">
        <v>12</v>
      </c>
      <c r="C2" s="6" t="s">
        <v>75</v>
      </c>
      <c r="D2" s="6" t="s">
        <v>14</v>
      </c>
      <c r="E2" s="6" t="s">
        <v>83</v>
      </c>
      <c r="F2" s="6" t="s">
        <v>14</v>
      </c>
      <c r="G2" s="6" t="s">
        <v>14</v>
      </c>
      <c r="H2" s="6" t="s">
        <v>36</v>
      </c>
      <c r="I2" s="6" t="s">
        <v>36</v>
      </c>
      <c r="J2" s="6" t="s">
        <v>107</v>
      </c>
      <c r="K2" s="6" t="s">
        <v>105</v>
      </c>
      <c r="L2" s="6" t="s">
        <v>42</v>
      </c>
      <c r="M2" s="6" t="s">
        <v>41</v>
      </c>
      <c r="N2" s="6" t="s">
        <v>77</v>
      </c>
      <c r="O2" s="6" t="s">
        <v>23</v>
      </c>
    </row>
    <row r="3" spans="1:15" x14ac:dyDescent="0.15">
      <c r="A3" s="10" t="s">
        <v>78</v>
      </c>
      <c r="B3" s="10" t="s">
        <v>80</v>
      </c>
      <c r="C3" s="3" t="s">
        <v>74</v>
      </c>
      <c r="D3" s="3" t="s">
        <v>18</v>
      </c>
      <c r="E3" s="3" t="s">
        <v>81</v>
      </c>
      <c r="F3" s="3" t="s">
        <v>39</v>
      </c>
      <c r="G3" s="3" t="s">
        <v>40</v>
      </c>
      <c r="H3" s="3" t="s">
        <v>43</v>
      </c>
      <c r="I3" s="3" t="s">
        <v>45</v>
      </c>
      <c r="J3" s="3" t="s">
        <v>108</v>
      </c>
      <c r="K3" s="3" t="s">
        <v>103</v>
      </c>
      <c r="L3" s="3" t="s">
        <v>17</v>
      </c>
      <c r="M3" s="3" t="s">
        <v>33</v>
      </c>
      <c r="N3" s="3" t="s">
        <v>20</v>
      </c>
      <c r="O3" s="3" t="s">
        <v>24</v>
      </c>
    </row>
    <row r="4" spans="1:15" x14ac:dyDescent="0.15">
      <c r="A4">
        <v>1</v>
      </c>
      <c r="B4">
        <v>7</v>
      </c>
      <c r="C4">
        <v>5</v>
      </c>
      <c r="D4">
        <v>5</v>
      </c>
      <c r="E4">
        <f>MIN(IF(表3_2[[#This Row],[序号]]=1,0.6,E3+0.015),1)</f>
        <v>0.6</v>
      </c>
      <c r="F4">
        <v>0</v>
      </c>
      <c r="G4">
        <v>0</v>
      </c>
      <c r="H4">
        <v>0</v>
      </c>
      <c r="I4">
        <v>10</v>
      </c>
      <c r="J4">
        <v>20</v>
      </c>
      <c r="K4">
        <v>1000</v>
      </c>
      <c r="L4" s="7" t="s">
        <v>122</v>
      </c>
      <c r="M4">
        <v>1</v>
      </c>
      <c r="N4" s="7" t="s">
        <v>84</v>
      </c>
      <c r="O4" s="7" t="s">
        <v>73</v>
      </c>
    </row>
    <row r="5" spans="1:15" x14ac:dyDescent="0.15">
      <c r="A5">
        <v>2</v>
      </c>
      <c r="B5">
        <v>7</v>
      </c>
      <c r="C5">
        <v>4</v>
      </c>
      <c r="D5">
        <v>5</v>
      </c>
      <c r="E5">
        <f>MIN(IF(表3_2[[#This Row],[序号]]=1,0.6,E4+0.015),1)</f>
        <v>0.61499999999999999</v>
      </c>
      <c r="F5">
        <v>0</v>
      </c>
      <c r="G5">
        <v>0</v>
      </c>
      <c r="H5">
        <v>100</v>
      </c>
      <c r="I5">
        <v>10</v>
      </c>
      <c r="J5">
        <v>40</v>
      </c>
      <c r="K5">
        <v>1000</v>
      </c>
      <c r="L5" s="7" t="s">
        <v>123</v>
      </c>
      <c r="M5">
        <v>1</v>
      </c>
      <c r="N5" s="7" t="s">
        <v>84</v>
      </c>
      <c r="O5" s="7" t="s">
        <v>72</v>
      </c>
    </row>
    <row r="6" spans="1:15" x14ac:dyDescent="0.15">
      <c r="A6">
        <v>3</v>
      </c>
      <c r="B6">
        <v>7</v>
      </c>
      <c r="C6">
        <v>3</v>
      </c>
      <c r="D6">
        <v>5</v>
      </c>
      <c r="E6">
        <f>MIN(IF(表3_2[[#This Row],[序号]]=1,0.6,E5+0.015),1)</f>
        <v>0.63</v>
      </c>
      <c r="F6">
        <v>0</v>
      </c>
      <c r="G6">
        <v>0</v>
      </c>
      <c r="H6">
        <v>300</v>
      </c>
      <c r="I6">
        <v>11</v>
      </c>
      <c r="J6">
        <v>60</v>
      </c>
      <c r="K6">
        <v>1000</v>
      </c>
      <c r="L6" t="s">
        <v>124</v>
      </c>
      <c r="M6">
        <v>1</v>
      </c>
      <c r="N6" s="7" t="s">
        <v>84</v>
      </c>
      <c r="O6" s="7" t="s">
        <v>71</v>
      </c>
    </row>
    <row r="7" spans="1:15" x14ac:dyDescent="0.15">
      <c r="A7">
        <v>4</v>
      </c>
      <c r="B7">
        <v>7</v>
      </c>
      <c r="C7">
        <v>2</v>
      </c>
      <c r="D7">
        <v>5</v>
      </c>
      <c r="E7">
        <f>MIN(IF(表3_2[[#This Row],[序号]]=1,0.6,E6+0.015),1)</f>
        <v>0.64500000000000002</v>
      </c>
      <c r="F7">
        <v>0</v>
      </c>
      <c r="G7">
        <v>0</v>
      </c>
      <c r="H7">
        <v>500</v>
      </c>
      <c r="I7">
        <v>12</v>
      </c>
      <c r="J7">
        <v>80</v>
      </c>
      <c r="K7">
        <v>1000</v>
      </c>
      <c r="L7" t="s">
        <v>125</v>
      </c>
      <c r="M7">
        <v>1</v>
      </c>
      <c r="N7" s="7" t="s">
        <v>84</v>
      </c>
      <c r="O7" s="7" t="s">
        <v>70</v>
      </c>
    </row>
    <row r="8" spans="1:15" x14ac:dyDescent="0.15">
      <c r="A8">
        <v>5</v>
      </c>
      <c r="B8">
        <v>7</v>
      </c>
      <c r="C8">
        <v>1</v>
      </c>
      <c r="D8">
        <v>5</v>
      </c>
      <c r="E8">
        <f>MIN(IF(表3_2[[#This Row],[序号]]=1,0.6,E7+0.015),1)</f>
        <v>0.66</v>
      </c>
      <c r="F8">
        <v>0</v>
      </c>
      <c r="G8">
        <v>0</v>
      </c>
      <c r="H8">
        <v>700</v>
      </c>
      <c r="I8">
        <v>12</v>
      </c>
      <c r="J8">
        <v>100</v>
      </c>
      <c r="K8">
        <v>1000</v>
      </c>
      <c r="L8" t="s">
        <v>126</v>
      </c>
      <c r="M8">
        <v>1</v>
      </c>
      <c r="N8" s="7" t="s">
        <v>84</v>
      </c>
      <c r="O8" s="7" t="s">
        <v>69</v>
      </c>
    </row>
    <row r="9" spans="1:15" x14ac:dyDescent="0.15">
      <c r="A9">
        <v>6</v>
      </c>
      <c r="B9">
        <v>6</v>
      </c>
      <c r="C9">
        <v>5</v>
      </c>
      <c r="D9">
        <v>20</v>
      </c>
      <c r="E9">
        <f>MIN(IF(表3_2[[#This Row],[序号]]=1,0.6,E8+0.015),1)</f>
        <v>0.67500000000000004</v>
      </c>
      <c r="F9">
        <v>0</v>
      </c>
      <c r="G9">
        <v>0</v>
      </c>
      <c r="H9">
        <v>900</v>
      </c>
      <c r="I9">
        <v>13</v>
      </c>
      <c r="J9">
        <v>200</v>
      </c>
      <c r="K9">
        <v>3000</v>
      </c>
      <c r="L9" t="s">
        <v>127</v>
      </c>
      <c r="M9">
        <v>1</v>
      </c>
      <c r="N9" s="7" t="s">
        <v>84</v>
      </c>
      <c r="O9" s="7" t="s">
        <v>68</v>
      </c>
    </row>
    <row r="10" spans="1:15" x14ac:dyDescent="0.15">
      <c r="A10">
        <v>7</v>
      </c>
      <c r="B10">
        <v>6</v>
      </c>
      <c r="C10">
        <v>4</v>
      </c>
      <c r="D10">
        <v>22</v>
      </c>
      <c r="E10">
        <f>MIN(IF(表3_2[[#This Row],[序号]]=1,0.6,E9+0.015),1)</f>
        <v>0.69000000000000006</v>
      </c>
      <c r="F10">
        <v>0</v>
      </c>
      <c r="G10">
        <v>0</v>
      </c>
      <c r="H10">
        <v>1100</v>
      </c>
      <c r="I10">
        <v>13</v>
      </c>
      <c r="J10">
        <v>240</v>
      </c>
      <c r="K10">
        <v>3000</v>
      </c>
      <c r="L10" s="7" t="s">
        <v>128</v>
      </c>
      <c r="M10">
        <v>1</v>
      </c>
      <c r="N10" s="7" t="s">
        <v>84</v>
      </c>
      <c r="O10" s="7" t="s">
        <v>67</v>
      </c>
    </row>
    <row r="11" spans="1:15" x14ac:dyDescent="0.15">
      <c r="A11">
        <v>8</v>
      </c>
      <c r="B11">
        <v>6</v>
      </c>
      <c r="C11">
        <v>3</v>
      </c>
      <c r="D11">
        <v>24</v>
      </c>
      <c r="E11">
        <f>MIN(IF(表3_2[[#This Row],[序号]]=1,0.6,E10+0.015),1)</f>
        <v>0.70500000000000007</v>
      </c>
      <c r="F11">
        <v>0</v>
      </c>
      <c r="G11">
        <v>0</v>
      </c>
      <c r="H11">
        <v>1300</v>
      </c>
      <c r="I11">
        <v>14</v>
      </c>
      <c r="J11">
        <v>280</v>
      </c>
      <c r="K11">
        <v>3000</v>
      </c>
      <c r="L11" t="s">
        <v>129</v>
      </c>
      <c r="M11">
        <v>1</v>
      </c>
      <c r="N11" s="7" t="s">
        <v>84</v>
      </c>
      <c r="O11" s="7" t="s">
        <v>66</v>
      </c>
    </row>
    <row r="12" spans="1:15" x14ac:dyDescent="0.15">
      <c r="A12">
        <v>9</v>
      </c>
      <c r="B12">
        <v>6</v>
      </c>
      <c r="C12">
        <v>2</v>
      </c>
      <c r="D12">
        <v>26</v>
      </c>
      <c r="E12">
        <f>MIN(IF(表3_2[[#This Row],[序号]]=1,0.6,E11+0.015),1)</f>
        <v>0.72000000000000008</v>
      </c>
      <c r="F12">
        <v>0</v>
      </c>
      <c r="G12">
        <v>0</v>
      </c>
      <c r="H12">
        <v>1500</v>
      </c>
      <c r="I12">
        <v>15</v>
      </c>
      <c r="J12">
        <v>320</v>
      </c>
      <c r="K12">
        <v>3000</v>
      </c>
      <c r="L12" t="s">
        <v>130</v>
      </c>
      <c r="M12">
        <v>1</v>
      </c>
      <c r="N12" s="7" t="s">
        <v>84</v>
      </c>
      <c r="O12" s="7" t="s">
        <v>65</v>
      </c>
    </row>
    <row r="13" spans="1:15" x14ac:dyDescent="0.15">
      <c r="A13">
        <v>10</v>
      </c>
      <c r="B13">
        <v>6</v>
      </c>
      <c r="C13">
        <v>1</v>
      </c>
      <c r="D13">
        <v>30</v>
      </c>
      <c r="E13">
        <f>MIN(IF(表3_2[[#This Row],[序号]]=1,0.6,E12+0.015),1)</f>
        <v>0.7350000000000001</v>
      </c>
      <c r="F13">
        <v>0</v>
      </c>
      <c r="G13">
        <v>0</v>
      </c>
      <c r="H13">
        <v>1700</v>
      </c>
      <c r="I13">
        <v>15</v>
      </c>
      <c r="J13">
        <v>360</v>
      </c>
      <c r="K13">
        <v>3000</v>
      </c>
      <c r="L13" t="s">
        <v>131</v>
      </c>
      <c r="M13">
        <v>1</v>
      </c>
      <c r="N13" s="7" t="s">
        <v>84</v>
      </c>
      <c r="O13" s="7" t="s">
        <v>64</v>
      </c>
    </row>
    <row r="14" spans="1:15" x14ac:dyDescent="0.15">
      <c r="A14">
        <v>11</v>
      </c>
      <c r="B14">
        <v>5</v>
      </c>
      <c r="C14">
        <v>5</v>
      </c>
      <c r="D14">
        <v>60</v>
      </c>
      <c r="E14">
        <f>MIN(IF(表3_2[[#This Row],[序号]]=1,0.6,E13+0.015),1)</f>
        <v>0.75000000000000011</v>
      </c>
      <c r="F14">
        <v>0</v>
      </c>
      <c r="G14">
        <v>0</v>
      </c>
      <c r="H14">
        <v>1900</v>
      </c>
      <c r="I14">
        <v>16</v>
      </c>
      <c r="J14">
        <v>500</v>
      </c>
      <c r="K14">
        <v>5000</v>
      </c>
      <c r="L14" t="s">
        <v>132</v>
      </c>
      <c r="M14">
        <v>1</v>
      </c>
      <c r="N14" s="7" t="s">
        <v>84</v>
      </c>
      <c r="O14" s="7" t="s">
        <v>63</v>
      </c>
    </row>
    <row r="15" spans="1:15" x14ac:dyDescent="0.15">
      <c r="A15">
        <v>12</v>
      </c>
      <c r="B15">
        <v>5</v>
      </c>
      <c r="C15">
        <v>4</v>
      </c>
      <c r="D15">
        <v>62</v>
      </c>
      <c r="E15">
        <f>MIN(IF(表3_2[[#This Row],[序号]]=1,0.6,E14+0.015),1)</f>
        <v>0.76500000000000012</v>
      </c>
      <c r="F15">
        <v>0</v>
      </c>
      <c r="G15">
        <v>0</v>
      </c>
      <c r="H15">
        <v>2000</v>
      </c>
      <c r="I15">
        <v>16</v>
      </c>
      <c r="J15">
        <v>600</v>
      </c>
      <c r="K15">
        <v>5000</v>
      </c>
      <c r="L15" t="s">
        <v>133</v>
      </c>
      <c r="M15">
        <v>1</v>
      </c>
      <c r="N15" s="7" t="s">
        <v>84</v>
      </c>
      <c r="O15" s="7" t="s">
        <v>62</v>
      </c>
    </row>
    <row r="16" spans="1:15" x14ac:dyDescent="0.15">
      <c r="A16">
        <v>13</v>
      </c>
      <c r="B16">
        <v>5</v>
      </c>
      <c r="C16">
        <v>3</v>
      </c>
      <c r="D16">
        <v>64</v>
      </c>
      <c r="E16">
        <f>MIN(IF(表3_2[[#This Row],[序号]]=1,0.6,E15+0.015),1)</f>
        <v>0.78000000000000014</v>
      </c>
      <c r="F16">
        <v>0</v>
      </c>
      <c r="G16">
        <v>0</v>
      </c>
      <c r="H16">
        <v>2100</v>
      </c>
      <c r="I16">
        <v>17</v>
      </c>
      <c r="J16">
        <v>700</v>
      </c>
      <c r="K16">
        <v>5000</v>
      </c>
      <c r="L16" t="s">
        <v>134</v>
      </c>
      <c r="M16">
        <v>1</v>
      </c>
      <c r="N16" s="7" t="s">
        <v>84</v>
      </c>
      <c r="O16" s="7" t="s">
        <v>61</v>
      </c>
    </row>
    <row r="17" spans="1:15" x14ac:dyDescent="0.15">
      <c r="A17">
        <v>14</v>
      </c>
      <c r="B17">
        <v>5</v>
      </c>
      <c r="C17">
        <v>2</v>
      </c>
      <c r="D17">
        <v>66</v>
      </c>
      <c r="E17">
        <f>MIN(IF(表3_2[[#This Row],[序号]]=1,0.6,E16+0.015),1)</f>
        <v>0.79500000000000015</v>
      </c>
      <c r="F17">
        <v>0</v>
      </c>
      <c r="G17">
        <v>0</v>
      </c>
      <c r="H17">
        <v>2200</v>
      </c>
      <c r="I17">
        <v>18</v>
      </c>
      <c r="J17">
        <v>800</v>
      </c>
      <c r="K17">
        <v>5000</v>
      </c>
      <c r="L17" t="s">
        <v>135</v>
      </c>
      <c r="M17">
        <v>1</v>
      </c>
      <c r="N17" s="7" t="s">
        <v>84</v>
      </c>
      <c r="O17" s="7" t="s">
        <v>60</v>
      </c>
    </row>
    <row r="18" spans="1:15" x14ac:dyDescent="0.15">
      <c r="A18">
        <v>15</v>
      </c>
      <c r="B18">
        <v>5</v>
      </c>
      <c r="C18">
        <v>1</v>
      </c>
      <c r="D18">
        <v>70</v>
      </c>
      <c r="E18">
        <f>MIN(IF(表3_2[[#This Row],[序号]]=1,0.6,E17+0.015),1)</f>
        <v>0.81000000000000016</v>
      </c>
      <c r="F18">
        <v>0</v>
      </c>
      <c r="G18">
        <v>0</v>
      </c>
      <c r="H18">
        <v>2300</v>
      </c>
      <c r="I18">
        <v>18</v>
      </c>
      <c r="J18">
        <v>900</v>
      </c>
      <c r="K18">
        <v>5000</v>
      </c>
      <c r="L18" t="s">
        <v>136</v>
      </c>
      <c r="M18">
        <v>1</v>
      </c>
      <c r="N18" s="7" t="s">
        <v>84</v>
      </c>
      <c r="O18" s="7" t="s">
        <v>59</v>
      </c>
    </row>
    <row r="19" spans="1:15" x14ac:dyDescent="0.15">
      <c r="A19">
        <v>16</v>
      </c>
      <c r="B19">
        <v>4</v>
      </c>
      <c r="C19">
        <v>5</v>
      </c>
      <c r="D19">
        <v>120</v>
      </c>
      <c r="E19">
        <f>MIN(IF(表3_2[[#This Row],[序号]]=1,0.6,E18+0.015),1)</f>
        <v>0.82500000000000018</v>
      </c>
      <c r="F19">
        <v>0</v>
      </c>
      <c r="G19">
        <v>0</v>
      </c>
      <c r="H19">
        <v>2500</v>
      </c>
      <c r="I19">
        <v>19</v>
      </c>
      <c r="J19">
        <v>1200</v>
      </c>
      <c r="K19">
        <v>8000</v>
      </c>
      <c r="L19" t="s">
        <v>137</v>
      </c>
      <c r="M19">
        <v>1</v>
      </c>
      <c r="N19" s="7" t="s">
        <v>84</v>
      </c>
      <c r="O19" s="7" t="s">
        <v>58</v>
      </c>
    </row>
    <row r="20" spans="1:15" x14ac:dyDescent="0.15">
      <c r="A20">
        <v>17</v>
      </c>
      <c r="B20">
        <v>4</v>
      </c>
      <c r="C20">
        <v>4</v>
      </c>
      <c r="D20">
        <v>125</v>
      </c>
      <c r="E20">
        <f>MIN(IF(表3_2[[#This Row],[序号]]=1,0.6,E19+0.015),1)</f>
        <v>0.84000000000000019</v>
      </c>
      <c r="F20">
        <v>0</v>
      </c>
      <c r="G20">
        <v>0</v>
      </c>
      <c r="H20">
        <v>2600</v>
      </c>
      <c r="I20">
        <v>20</v>
      </c>
      <c r="J20">
        <v>1400</v>
      </c>
      <c r="K20">
        <v>8000</v>
      </c>
      <c r="L20" t="s">
        <v>138</v>
      </c>
      <c r="M20">
        <v>1</v>
      </c>
      <c r="N20" s="7" t="s">
        <v>84</v>
      </c>
      <c r="O20" s="7" t="s">
        <v>57</v>
      </c>
    </row>
    <row r="21" spans="1:15" x14ac:dyDescent="0.15">
      <c r="A21">
        <v>18</v>
      </c>
      <c r="B21">
        <v>4</v>
      </c>
      <c r="C21">
        <v>3</v>
      </c>
      <c r="D21">
        <v>130</v>
      </c>
      <c r="E21">
        <f>MIN(IF(表3_2[[#This Row],[序号]]=1,0.6,E20+0.015),1)</f>
        <v>0.8550000000000002</v>
      </c>
      <c r="F21">
        <v>0</v>
      </c>
      <c r="G21">
        <v>0</v>
      </c>
      <c r="H21">
        <v>2700</v>
      </c>
      <c r="I21">
        <v>21</v>
      </c>
      <c r="J21">
        <v>1600</v>
      </c>
      <c r="K21">
        <v>8000</v>
      </c>
      <c r="L21" t="s">
        <v>139</v>
      </c>
      <c r="M21">
        <v>1</v>
      </c>
      <c r="N21" s="7" t="s">
        <v>84</v>
      </c>
      <c r="O21" s="7" t="s">
        <v>56</v>
      </c>
    </row>
    <row r="22" spans="1:15" x14ac:dyDescent="0.15">
      <c r="A22">
        <v>19</v>
      </c>
      <c r="B22">
        <v>4</v>
      </c>
      <c r="C22">
        <v>2</v>
      </c>
      <c r="D22">
        <v>135</v>
      </c>
      <c r="E22">
        <f>MIN(IF(表3_2[[#This Row],[序号]]=1,0.6,E21+0.015),1)</f>
        <v>0.87000000000000022</v>
      </c>
      <c r="F22">
        <v>0</v>
      </c>
      <c r="G22">
        <v>0</v>
      </c>
      <c r="H22">
        <v>2800</v>
      </c>
      <c r="I22">
        <v>22</v>
      </c>
      <c r="J22">
        <v>1800</v>
      </c>
      <c r="K22">
        <v>8000</v>
      </c>
      <c r="L22" t="s">
        <v>140</v>
      </c>
      <c r="M22">
        <v>1</v>
      </c>
      <c r="N22" s="7" t="s">
        <v>84</v>
      </c>
      <c r="O22" s="7" t="s">
        <v>55</v>
      </c>
    </row>
    <row r="23" spans="1:15" x14ac:dyDescent="0.15">
      <c r="A23">
        <v>20</v>
      </c>
      <c r="B23">
        <v>4</v>
      </c>
      <c r="C23">
        <v>1</v>
      </c>
      <c r="D23">
        <v>140</v>
      </c>
      <c r="E23">
        <f>MIN(IF(表3_2[[#This Row],[序号]]=1,0.6,E22+0.015),1)</f>
        <v>0.88500000000000023</v>
      </c>
      <c r="F23">
        <v>0</v>
      </c>
      <c r="G23">
        <v>0</v>
      </c>
      <c r="H23">
        <v>2900</v>
      </c>
      <c r="I23">
        <v>23</v>
      </c>
      <c r="J23">
        <v>2000</v>
      </c>
      <c r="K23">
        <v>8000</v>
      </c>
      <c r="L23" t="s">
        <v>141</v>
      </c>
      <c r="M23">
        <v>1</v>
      </c>
      <c r="N23" s="7" t="s">
        <v>84</v>
      </c>
      <c r="O23" s="7" t="s">
        <v>54</v>
      </c>
    </row>
    <row r="24" spans="1:15" x14ac:dyDescent="0.15">
      <c r="A24">
        <v>21</v>
      </c>
      <c r="B24">
        <v>3</v>
      </c>
      <c r="C24">
        <v>5</v>
      </c>
      <c r="D24">
        <v>240</v>
      </c>
      <c r="E24">
        <f>MIN(IF(表3_2[[#This Row],[序号]]=1,0.6,E23+0.015),1)</f>
        <v>0.90000000000000024</v>
      </c>
      <c r="F24">
        <v>0</v>
      </c>
      <c r="G24">
        <v>0</v>
      </c>
      <c r="H24">
        <v>3100</v>
      </c>
      <c r="I24">
        <v>24</v>
      </c>
      <c r="J24">
        <v>2400</v>
      </c>
      <c r="K24">
        <v>12000</v>
      </c>
      <c r="L24" t="s">
        <v>142</v>
      </c>
      <c r="M24">
        <v>1</v>
      </c>
      <c r="N24" s="7" t="s">
        <v>84</v>
      </c>
      <c r="O24" s="7" t="s">
        <v>53</v>
      </c>
    </row>
    <row r="25" spans="1:15" x14ac:dyDescent="0.15">
      <c r="A25">
        <v>22</v>
      </c>
      <c r="B25">
        <v>3</v>
      </c>
      <c r="C25">
        <v>4</v>
      </c>
      <c r="D25">
        <v>245</v>
      </c>
      <c r="E25">
        <f>MIN(IF(表3_2[[#This Row],[序号]]=1,0.6,E24+0.015),1)</f>
        <v>0.91500000000000026</v>
      </c>
      <c r="F25">
        <v>0</v>
      </c>
      <c r="G25">
        <v>0</v>
      </c>
      <c r="H25">
        <v>3200</v>
      </c>
      <c r="I25">
        <v>25</v>
      </c>
      <c r="J25">
        <v>2800</v>
      </c>
      <c r="K25">
        <v>12000</v>
      </c>
      <c r="L25" s="7" t="s">
        <v>143</v>
      </c>
      <c r="M25">
        <v>1</v>
      </c>
      <c r="N25" s="7" t="s">
        <v>84</v>
      </c>
      <c r="O25" s="7" t="s">
        <v>52</v>
      </c>
    </row>
    <row r="26" spans="1:15" x14ac:dyDescent="0.15">
      <c r="A26">
        <v>23</v>
      </c>
      <c r="B26">
        <v>3</v>
      </c>
      <c r="C26">
        <v>3</v>
      </c>
      <c r="D26">
        <v>250</v>
      </c>
      <c r="E26">
        <f>MIN(IF(表3_2[[#This Row],[序号]]=1,0.6,E25+0.015),1)</f>
        <v>0.93000000000000027</v>
      </c>
      <c r="F26">
        <v>0</v>
      </c>
      <c r="G26">
        <v>0</v>
      </c>
      <c r="H26">
        <v>3300</v>
      </c>
      <c r="I26">
        <v>26</v>
      </c>
      <c r="J26">
        <v>3200</v>
      </c>
      <c r="K26">
        <v>12000</v>
      </c>
      <c r="L26" t="s">
        <v>144</v>
      </c>
      <c r="M26">
        <v>1</v>
      </c>
      <c r="N26" s="7" t="s">
        <v>84</v>
      </c>
      <c r="O26" s="7" t="s">
        <v>51</v>
      </c>
    </row>
    <row r="27" spans="1:15" x14ac:dyDescent="0.15">
      <c r="A27">
        <v>24</v>
      </c>
      <c r="B27">
        <v>3</v>
      </c>
      <c r="C27">
        <v>2</v>
      </c>
      <c r="D27">
        <v>255</v>
      </c>
      <c r="E27">
        <f>MIN(IF(表3_2[[#This Row],[序号]]=1,0.6,E26+0.015),1)</f>
        <v>0.94500000000000028</v>
      </c>
      <c r="F27">
        <v>0</v>
      </c>
      <c r="G27">
        <v>0</v>
      </c>
      <c r="H27">
        <v>3400</v>
      </c>
      <c r="I27">
        <v>27</v>
      </c>
      <c r="J27">
        <v>3600</v>
      </c>
      <c r="K27">
        <v>12000</v>
      </c>
      <c r="L27" t="s">
        <v>145</v>
      </c>
      <c r="M27">
        <v>1</v>
      </c>
      <c r="N27" s="7" t="s">
        <v>84</v>
      </c>
      <c r="O27" s="7" t="s">
        <v>50</v>
      </c>
    </row>
    <row r="28" spans="1:15" x14ac:dyDescent="0.15">
      <c r="A28">
        <v>25</v>
      </c>
      <c r="B28">
        <v>3</v>
      </c>
      <c r="C28">
        <v>1</v>
      </c>
      <c r="D28">
        <v>260</v>
      </c>
      <c r="E28">
        <f>MIN(IF(表3_2[[#This Row],[序号]]=1,0.6,E27+0.015),1)</f>
        <v>0.9600000000000003</v>
      </c>
      <c r="F28">
        <v>0</v>
      </c>
      <c r="G28">
        <v>0</v>
      </c>
      <c r="H28">
        <v>3500</v>
      </c>
      <c r="I28">
        <v>28</v>
      </c>
      <c r="J28">
        <v>4000</v>
      </c>
      <c r="K28">
        <v>12000</v>
      </c>
      <c r="L28" t="s">
        <v>146</v>
      </c>
      <c r="M28">
        <v>1</v>
      </c>
      <c r="N28" s="7" t="s">
        <v>84</v>
      </c>
      <c r="O28" s="7" t="s">
        <v>49</v>
      </c>
    </row>
    <row r="29" spans="1:15" x14ac:dyDescent="0.15">
      <c r="A29">
        <v>26</v>
      </c>
      <c r="B29">
        <v>2</v>
      </c>
      <c r="C29">
        <v>1</v>
      </c>
      <c r="D29">
        <v>360</v>
      </c>
      <c r="E29">
        <f>MIN(IF(表3_2[[#This Row],[序号]]=1,0.6,E28+0.015),1)</f>
        <v>0.97500000000000031</v>
      </c>
      <c r="F29">
        <v>2</v>
      </c>
      <c r="G29">
        <v>10</v>
      </c>
      <c r="H29">
        <v>3600</v>
      </c>
      <c r="I29">
        <v>29</v>
      </c>
      <c r="J29">
        <v>5000</v>
      </c>
      <c r="K29">
        <v>16000</v>
      </c>
      <c r="L29" s="7" t="s">
        <v>147</v>
      </c>
      <c r="M29">
        <v>1</v>
      </c>
      <c r="N29" s="7" t="s">
        <v>84</v>
      </c>
      <c r="O29" s="7" t="s">
        <v>48</v>
      </c>
    </row>
    <row r="30" spans="1:15" x14ac:dyDescent="0.15">
      <c r="A30">
        <v>27</v>
      </c>
      <c r="B30">
        <v>1</v>
      </c>
      <c r="C30">
        <v>1</v>
      </c>
      <c r="D30">
        <v>480</v>
      </c>
      <c r="E30">
        <f>MIN(IF(表3_2[[#This Row],[序号]]=1,0.6,E29+0.015),1)</f>
        <v>0.99000000000000032</v>
      </c>
      <c r="F30">
        <v>1</v>
      </c>
      <c r="G30">
        <v>1</v>
      </c>
      <c r="H30">
        <v>3800</v>
      </c>
      <c r="I30">
        <v>30</v>
      </c>
      <c r="J30">
        <v>6000</v>
      </c>
      <c r="K30">
        <v>20000</v>
      </c>
      <c r="L30" s="7" t="s">
        <v>148</v>
      </c>
      <c r="M30">
        <v>1</v>
      </c>
      <c r="N30" s="7" t="s">
        <v>84</v>
      </c>
      <c r="O30" s="7" t="s">
        <v>47</v>
      </c>
    </row>
  </sheetData>
  <phoneticPr fontId="3" type="noConversion"/>
  <dataValidations count="7">
    <dataValidation allowBlank="1" showInputMessage="1" showErrorMessage="1" promptTitle="最大等待多长时间开始匹配机器人" prompt="单位秒" sqref="D3:E3" xr:uid="{00000000-0002-0000-0100-000000000000}"/>
    <dataValidation allowBlank="1" showInputMessage="1" showErrorMessage="1" promptTitle="获得此段位需要的最高积分排名" prompt="0表示无此限制" sqref="G3" xr:uid="{00000000-0002-0000-0100-000001000000}"/>
    <dataValidation allowBlank="1" showInputMessage="1" showErrorMessage="1" promptTitle="获得此段位需要的最低积分排名" prompt="0表示无此限制" sqref="F3" xr:uid="{00000000-0002-0000-0100-000002000000}"/>
    <dataValidation allowBlank="1" showInputMessage="1" showErrorMessage="1" promptTitle="获得此段位需要的最低积分" prompt="0表示无此限制" sqref="H3" xr:uid="{00000000-0002-0000-0100-000003000000}"/>
    <dataValidation allowBlank="1" showInputMessage="1" showErrorMessage="1" promptTitle="每个赛季结束发放的奖励" prompt="通过赛季界面领取" sqref="L3" xr:uid="{00000000-0002-0000-0100-000004000000}"/>
    <dataValidation allowBlank="1" showInputMessage="1" showErrorMessage="1" promptTitle="此段位对应的积分参数，比赛结算时使用" prompt="max(对手参数-我的参数 + 20，5)" sqref="I3" xr:uid="{00000000-0002-0000-0100-000005000000}"/>
    <dataValidation allowBlank="1" showInputMessage="1" showErrorMessage="1" promptTitle="【宝箱ID，概率】" prompt="每次随机一个宝箱" sqref="N3" xr:uid="{00000000-0002-0000-0100-000006000000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67"/>
  <sheetViews>
    <sheetView tabSelected="1" workbookViewId="0">
      <pane ySplit="3" topLeftCell="A7" activePane="bottomLeft" state="frozenSplit"/>
      <selection pane="bottomLeft" activeCell="C20" sqref="C20"/>
    </sheetView>
  </sheetViews>
  <sheetFormatPr defaultRowHeight="13.5" x14ac:dyDescent="0.15"/>
  <cols>
    <col min="1" max="1" width="10.5" bestFit="1" customWidth="1"/>
    <col min="2" max="2" width="15.125" customWidth="1"/>
    <col min="3" max="3" width="43.875" bestFit="1" customWidth="1"/>
    <col min="4" max="4" width="18.375" bestFit="1" customWidth="1"/>
  </cols>
  <sheetData>
    <row r="1" spans="1:4" ht="16.5" x14ac:dyDescent="0.3">
      <c r="A1" s="8" t="s">
        <v>29</v>
      </c>
      <c r="B1" s="1" t="s">
        <v>30</v>
      </c>
      <c r="C1" s="1" t="s">
        <v>31</v>
      </c>
      <c r="D1" s="1" t="s">
        <v>85</v>
      </c>
    </row>
    <row r="2" spans="1:4" ht="16.5" x14ac:dyDescent="0.15">
      <c r="A2" s="9" t="s">
        <v>36</v>
      </c>
      <c r="B2" s="6" t="s">
        <v>15</v>
      </c>
      <c r="C2" s="6" t="s">
        <v>15</v>
      </c>
      <c r="D2" s="6" t="s">
        <v>23</v>
      </c>
    </row>
    <row r="3" spans="1:4" x14ac:dyDescent="0.15">
      <c r="A3" s="3" t="s">
        <v>25</v>
      </c>
      <c r="B3" s="3" t="s">
        <v>16</v>
      </c>
      <c r="C3" s="3" t="s">
        <v>26</v>
      </c>
      <c r="D3" s="3" t="s">
        <v>86</v>
      </c>
    </row>
    <row r="4" spans="1:4" x14ac:dyDescent="0.15">
      <c r="A4" s="3">
        <v>1</v>
      </c>
      <c r="B4" s="3" t="s">
        <v>32</v>
      </c>
      <c r="C4" s="7" t="s">
        <v>111</v>
      </c>
      <c r="D4" s="11" t="s">
        <v>87</v>
      </c>
    </row>
    <row r="5" spans="1:4" x14ac:dyDescent="0.15">
      <c r="A5" s="3">
        <v>1</v>
      </c>
      <c r="B5" s="3" t="s">
        <v>94</v>
      </c>
      <c r="C5" s="7" t="s">
        <v>111</v>
      </c>
      <c r="D5" s="11" t="s">
        <v>88</v>
      </c>
    </row>
    <row r="6" spans="1:4" x14ac:dyDescent="0.15">
      <c r="A6" s="3">
        <v>1</v>
      </c>
      <c r="B6" s="3" t="s">
        <v>95</v>
      </c>
      <c r="C6" s="7" t="s">
        <v>111</v>
      </c>
      <c r="D6" s="11" t="s">
        <v>89</v>
      </c>
    </row>
    <row r="7" spans="1:4" x14ac:dyDescent="0.15">
      <c r="A7" s="3">
        <v>1</v>
      </c>
      <c r="B7" s="3" t="s">
        <v>27</v>
      </c>
      <c r="C7" s="7" t="s">
        <v>111</v>
      </c>
      <c r="D7" s="11" t="s">
        <v>90</v>
      </c>
    </row>
    <row r="8" spans="1:4" x14ac:dyDescent="0.15">
      <c r="A8" s="3">
        <v>1</v>
      </c>
      <c r="B8" s="3" t="s">
        <v>96</v>
      </c>
      <c r="C8" s="7" t="s">
        <v>111</v>
      </c>
      <c r="D8" s="11" t="s">
        <v>91</v>
      </c>
    </row>
    <row r="9" spans="1:4" x14ac:dyDescent="0.15">
      <c r="A9" s="3">
        <v>1</v>
      </c>
      <c r="B9" s="3" t="s">
        <v>97</v>
      </c>
      <c r="C9" s="7" t="s">
        <v>111</v>
      </c>
      <c r="D9" s="11" t="s">
        <v>92</v>
      </c>
    </row>
    <row r="10" spans="1:4" x14ac:dyDescent="0.15">
      <c r="A10" s="3">
        <v>1</v>
      </c>
      <c r="B10" s="3" t="s">
        <v>28</v>
      </c>
      <c r="C10" s="7" t="s">
        <v>111</v>
      </c>
      <c r="D10" s="11" t="s">
        <v>93</v>
      </c>
    </row>
    <row r="11" spans="1:4" x14ac:dyDescent="0.15">
      <c r="A11" s="3">
        <v>1</v>
      </c>
      <c r="B11" s="12" t="s">
        <v>121</v>
      </c>
      <c r="C11" s="7" t="s">
        <v>111</v>
      </c>
      <c r="D11" s="11" t="s">
        <v>112</v>
      </c>
    </row>
    <row r="12" spans="1:4" x14ac:dyDescent="0.15">
      <c r="A12" s="3">
        <v>2</v>
      </c>
      <c r="B12" s="3" t="s">
        <v>32</v>
      </c>
      <c r="C12" s="7" t="s">
        <v>111</v>
      </c>
      <c r="D12" s="11" t="s">
        <v>87</v>
      </c>
    </row>
    <row r="13" spans="1:4" x14ac:dyDescent="0.15">
      <c r="A13" s="3">
        <v>2</v>
      </c>
      <c r="B13" s="3" t="s">
        <v>94</v>
      </c>
      <c r="C13" s="7" t="s">
        <v>111</v>
      </c>
      <c r="D13" s="11" t="s">
        <v>88</v>
      </c>
    </row>
    <row r="14" spans="1:4" x14ac:dyDescent="0.15">
      <c r="A14" s="3">
        <v>2</v>
      </c>
      <c r="B14" s="3" t="s">
        <v>95</v>
      </c>
      <c r="C14" s="7" t="s">
        <v>111</v>
      </c>
      <c r="D14" s="11" t="s">
        <v>89</v>
      </c>
    </row>
    <row r="15" spans="1:4" x14ac:dyDescent="0.15">
      <c r="A15" s="3">
        <v>2</v>
      </c>
      <c r="B15" s="3" t="s">
        <v>27</v>
      </c>
      <c r="C15" s="7" t="s">
        <v>111</v>
      </c>
      <c r="D15" s="11" t="s">
        <v>90</v>
      </c>
    </row>
    <row r="16" spans="1:4" x14ac:dyDescent="0.15">
      <c r="A16" s="3">
        <v>2</v>
      </c>
      <c r="B16" s="3" t="s">
        <v>96</v>
      </c>
      <c r="C16" s="7" t="s">
        <v>111</v>
      </c>
      <c r="D16" s="11" t="s">
        <v>91</v>
      </c>
    </row>
    <row r="17" spans="1:4" x14ac:dyDescent="0.15">
      <c r="A17" s="3">
        <v>2</v>
      </c>
      <c r="B17" s="3" t="s">
        <v>97</v>
      </c>
      <c r="C17" s="7" t="s">
        <v>111</v>
      </c>
      <c r="D17" s="11" t="s">
        <v>92</v>
      </c>
    </row>
    <row r="18" spans="1:4" x14ac:dyDescent="0.15">
      <c r="A18" s="3">
        <v>2</v>
      </c>
      <c r="B18" s="3" t="s">
        <v>28</v>
      </c>
      <c r="C18" s="7" t="s">
        <v>111</v>
      </c>
      <c r="D18" s="11" t="s">
        <v>93</v>
      </c>
    </row>
    <row r="19" spans="1:4" x14ac:dyDescent="0.15">
      <c r="A19" s="3">
        <v>2</v>
      </c>
      <c r="B19" s="12" t="s">
        <v>121</v>
      </c>
      <c r="C19" s="7" t="s">
        <v>111</v>
      </c>
      <c r="D19" s="11" t="s">
        <v>112</v>
      </c>
    </row>
    <row r="20" spans="1:4" x14ac:dyDescent="0.15">
      <c r="A20" s="3">
        <v>3</v>
      </c>
      <c r="B20" s="3" t="s">
        <v>32</v>
      </c>
      <c r="C20" s="7" t="s">
        <v>172</v>
      </c>
      <c r="D20" s="11" t="s">
        <v>87</v>
      </c>
    </row>
    <row r="21" spans="1:4" x14ac:dyDescent="0.15">
      <c r="A21" s="3">
        <v>3</v>
      </c>
      <c r="B21" s="3" t="s">
        <v>94</v>
      </c>
      <c r="C21" s="7" t="s">
        <v>173</v>
      </c>
      <c r="D21" s="11" t="s">
        <v>88</v>
      </c>
    </row>
    <row r="22" spans="1:4" x14ac:dyDescent="0.15">
      <c r="A22" s="3">
        <v>3</v>
      </c>
      <c r="B22" s="3" t="s">
        <v>95</v>
      </c>
      <c r="C22" s="7" t="s">
        <v>174</v>
      </c>
      <c r="D22" s="11" t="s">
        <v>89</v>
      </c>
    </row>
    <row r="23" spans="1:4" x14ac:dyDescent="0.15">
      <c r="A23" s="3">
        <v>3</v>
      </c>
      <c r="B23" s="3" t="s">
        <v>27</v>
      </c>
      <c r="C23" s="7" t="s">
        <v>175</v>
      </c>
      <c r="D23" s="11" t="s">
        <v>90</v>
      </c>
    </row>
    <row r="24" spans="1:4" x14ac:dyDescent="0.15">
      <c r="A24" s="3">
        <v>3</v>
      </c>
      <c r="B24" s="3" t="s">
        <v>96</v>
      </c>
      <c r="C24" s="7" t="s">
        <v>176</v>
      </c>
      <c r="D24" s="11" t="s">
        <v>91</v>
      </c>
    </row>
    <row r="25" spans="1:4" x14ac:dyDescent="0.15">
      <c r="A25" s="3">
        <v>3</v>
      </c>
      <c r="B25" s="3" t="s">
        <v>97</v>
      </c>
      <c r="C25" s="7" t="s">
        <v>177</v>
      </c>
      <c r="D25" s="11" t="s">
        <v>92</v>
      </c>
    </row>
    <row r="26" spans="1:4" x14ac:dyDescent="0.15">
      <c r="A26" s="3">
        <v>3</v>
      </c>
      <c r="B26" s="3" t="s">
        <v>28</v>
      </c>
      <c r="C26" s="7" t="s">
        <v>178</v>
      </c>
      <c r="D26" s="11" t="s">
        <v>93</v>
      </c>
    </row>
    <row r="27" spans="1:4" x14ac:dyDescent="0.15">
      <c r="A27" s="3">
        <v>3</v>
      </c>
      <c r="B27" s="12" t="s">
        <v>121</v>
      </c>
      <c r="C27" s="7" t="s">
        <v>162</v>
      </c>
      <c r="D27" s="11" t="s">
        <v>112</v>
      </c>
    </row>
    <row r="28" spans="1:4" x14ac:dyDescent="0.15">
      <c r="A28" s="3">
        <v>4</v>
      </c>
      <c r="B28" s="3" t="s">
        <v>32</v>
      </c>
      <c r="C28" s="7" t="s">
        <v>102</v>
      </c>
      <c r="D28" s="11" t="s">
        <v>87</v>
      </c>
    </row>
    <row r="29" spans="1:4" x14ac:dyDescent="0.15">
      <c r="A29" s="3">
        <v>4</v>
      </c>
      <c r="B29" s="3" t="s">
        <v>94</v>
      </c>
      <c r="C29" s="7" t="s">
        <v>109</v>
      </c>
      <c r="D29" s="11" t="s">
        <v>88</v>
      </c>
    </row>
    <row r="30" spans="1:4" x14ac:dyDescent="0.15">
      <c r="A30" s="3">
        <v>4</v>
      </c>
      <c r="B30" s="3" t="s">
        <v>95</v>
      </c>
      <c r="C30" s="7" t="s">
        <v>98</v>
      </c>
      <c r="D30" s="11" t="s">
        <v>89</v>
      </c>
    </row>
    <row r="31" spans="1:4" x14ac:dyDescent="0.15">
      <c r="A31" s="3">
        <v>4</v>
      </c>
      <c r="B31" s="3" t="s">
        <v>27</v>
      </c>
      <c r="C31" s="7" t="s">
        <v>113</v>
      </c>
      <c r="D31" s="11" t="s">
        <v>90</v>
      </c>
    </row>
    <row r="32" spans="1:4" x14ac:dyDescent="0.15">
      <c r="A32" s="3">
        <v>4</v>
      </c>
      <c r="B32" s="3" t="s">
        <v>96</v>
      </c>
      <c r="C32" s="7" t="s">
        <v>114</v>
      </c>
      <c r="D32" s="11" t="s">
        <v>91</v>
      </c>
    </row>
    <row r="33" spans="1:4" x14ac:dyDescent="0.15">
      <c r="A33" s="3">
        <v>4</v>
      </c>
      <c r="B33" s="3" t="s">
        <v>97</v>
      </c>
      <c r="C33" s="7" t="s">
        <v>115</v>
      </c>
      <c r="D33" s="11" t="s">
        <v>92</v>
      </c>
    </row>
    <row r="34" spans="1:4" x14ac:dyDescent="0.15">
      <c r="A34" s="3">
        <v>4</v>
      </c>
      <c r="B34" s="3" t="s">
        <v>28</v>
      </c>
      <c r="C34" s="7" t="s">
        <v>110</v>
      </c>
      <c r="D34" s="11" t="s">
        <v>93</v>
      </c>
    </row>
    <row r="35" spans="1:4" x14ac:dyDescent="0.15">
      <c r="A35" s="3">
        <v>4</v>
      </c>
      <c r="B35" s="12" t="s">
        <v>121</v>
      </c>
      <c r="C35" s="7" t="s">
        <v>99</v>
      </c>
      <c r="D35" s="11" t="s">
        <v>112</v>
      </c>
    </row>
    <row r="36" spans="1:4" x14ac:dyDescent="0.15">
      <c r="A36" s="3">
        <v>5</v>
      </c>
      <c r="B36" s="3" t="s">
        <v>32</v>
      </c>
      <c r="C36" s="7" t="s">
        <v>116</v>
      </c>
      <c r="D36" s="11" t="s">
        <v>87</v>
      </c>
    </row>
    <row r="37" spans="1:4" x14ac:dyDescent="0.15">
      <c r="A37" s="3">
        <v>5</v>
      </c>
      <c r="B37" s="3" t="s">
        <v>94</v>
      </c>
      <c r="C37" s="7" t="s">
        <v>117</v>
      </c>
      <c r="D37" s="11" t="s">
        <v>88</v>
      </c>
    </row>
    <row r="38" spans="1:4" x14ac:dyDescent="0.15">
      <c r="A38" s="3">
        <v>5</v>
      </c>
      <c r="B38" s="3" t="s">
        <v>95</v>
      </c>
      <c r="C38" s="7" t="s">
        <v>118</v>
      </c>
      <c r="D38" s="11" t="s">
        <v>89</v>
      </c>
    </row>
    <row r="39" spans="1:4" x14ac:dyDescent="0.15">
      <c r="A39" s="3">
        <v>5</v>
      </c>
      <c r="B39" s="3" t="s">
        <v>27</v>
      </c>
      <c r="C39" s="7" t="s">
        <v>119</v>
      </c>
      <c r="D39" s="11" t="s">
        <v>90</v>
      </c>
    </row>
    <row r="40" spans="1:4" x14ac:dyDescent="0.15">
      <c r="A40" s="3">
        <v>5</v>
      </c>
      <c r="B40" s="3" t="s">
        <v>96</v>
      </c>
      <c r="C40" s="7" t="s">
        <v>120</v>
      </c>
      <c r="D40" s="11" t="s">
        <v>91</v>
      </c>
    </row>
    <row r="41" spans="1:4" x14ac:dyDescent="0.15">
      <c r="A41" s="3">
        <v>5</v>
      </c>
      <c r="B41" s="3" t="s">
        <v>97</v>
      </c>
      <c r="C41" s="7" t="s">
        <v>100</v>
      </c>
      <c r="D41" s="11" t="s">
        <v>92</v>
      </c>
    </row>
    <row r="42" spans="1:4" x14ac:dyDescent="0.15">
      <c r="A42" s="3">
        <v>5</v>
      </c>
      <c r="B42" s="3" t="s">
        <v>28</v>
      </c>
      <c r="C42" s="7" t="s">
        <v>101</v>
      </c>
      <c r="D42" s="11" t="s">
        <v>93</v>
      </c>
    </row>
    <row r="43" spans="1:4" x14ac:dyDescent="0.15">
      <c r="A43" s="3">
        <v>5</v>
      </c>
      <c r="B43" s="12" t="s">
        <v>121</v>
      </c>
      <c r="C43" s="7" t="s">
        <v>99</v>
      </c>
      <c r="D43" s="11" t="s">
        <v>112</v>
      </c>
    </row>
    <row r="44" spans="1:4" x14ac:dyDescent="0.15">
      <c r="A44" s="3">
        <v>6</v>
      </c>
      <c r="B44" s="12" t="s">
        <v>32</v>
      </c>
      <c r="C44" s="7" t="s">
        <v>164</v>
      </c>
      <c r="D44" s="11" t="s">
        <v>87</v>
      </c>
    </row>
    <row r="45" spans="1:4" x14ac:dyDescent="0.15">
      <c r="A45" s="3">
        <v>6</v>
      </c>
      <c r="B45" s="12" t="s">
        <v>94</v>
      </c>
      <c r="C45" s="7" t="s">
        <v>165</v>
      </c>
      <c r="D45" s="11" t="s">
        <v>88</v>
      </c>
    </row>
    <row r="46" spans="1:4" x14ac:dyDescent="0.15">
      <c r="A46" s="3">
        <v>6</v>
      </c>
      <c r="B46" s="12" t="s">
        <v>95</v>
      </c>
      <c r="C46" s="7" t="s">
        <v>166</v>
      </c>
      <c r="D46" s="11" t="s">
        <v>89</v>
      </c>
    </row>
    <row r="47" spans="1:4" x14ac:dyDescent="0.15">
      <c r="A47" s="3">
        <v>6</v>
      </c>
      <c r="B47" s="12" t="s">
        <v>27</v>
      </c>
      <c r="C47" s="7" t="s">
        <v>167</v>
      </c>
      <c r="D47" s="11" t="s">
        <v>90</v>
      </c>
    </row>
    <row r="48" spans="1:4" x14ac:dyDescent="0.15">
      <c r="A48" s="3">
        <v>6</v>
      </c>
      <c r="B48" s="12" t="s">
        <v>96</v>
      </c>
      <c r="C48" s="7" t="s">
        <v>168</v>
      </c>
      <c r="D48" s="11" t="s">
        <v>91</v>
      </c>
    </row>
    <row r="49" spans="1:4" x14ac:dyDescent="0.15">
      <c r="A49" s="3">
        <v>6</v>
      </c>
      <c r="B49" s="12" t="s">
        <v>97</v>
      </c>
      <c r="C49" s="7" t="s">
        <v>169</v>
      </c>
      <c r="D49" s="11" t="s">
        <v>92</v>
      </c>
    </row>
    <row r="50" spans="1:4" x14ac:dyDescent="0.15">
      <c r="A50" s="3">
        <v>6</v>
      </c>
      <c r="B50" s="12" t="s">
        <v>28</v>
      </c>
      <c r="C50" s="7" t="s">
        <v>170</v>
      </c>
      <c r="D50" s="11" t="s">
        <v>93</v>
      </c>
    </row>
    <row r="51" spans="1:4" x14ac:dyDescent="0.15">
      <c r="A51" s="3">
        <v>6</v>
      </c>
      <c r="B51" s="12" t="s">
        <v>121</v>
      </c>
      <c r="C51" s="7" t="s">
        <v>163</v>
      </c>
      <c r="D51" s="11" t="s">
        <v>112</v>
      </c>
    </row>
    <row r="52" spans="1:4" x14ac:dyDescent="0.15">
      <c r="A52" s="3">
        <v>7</v>
      </c>
      <c r="B52" s="12" t="s">
        <v>32</v>
      </c>
      <c r="C52" s="7" t="s">
        <v>155</v>
      </c>
      <c r="D52" s="11" t="s">
        <v>87</v>
      </c>
    </row>
    <row r="53" spans="1:4" x14ac:dyDescent="0.15">
      <c r="A53" s="3">
        <v>7</v>
      </c>
      <c r="B53" s="12" t="s">
        <v>94</v>
      </c>
      <c r="C53" s="7" t="s">
        <v>156</v>
      </c>
      <c r="D53" s="11" t="s">
        <v>88</v>
      </c>
    </row>
    <row r="54" spans="1:4" x14ac:dyDescent="0.15">
      <c r="A54" s="3">
        <v>7</v>
      </c>
      <c r="B54" s="12" t="s">
        <v>95</v>
      </c>
      <c r="C54" s="7" t="s">
        <v>157</v>
      </c>
      <c r="D54" s="11" t="s">
        <v>89</v>
      </c>
    </row>
    <row r="55" spans="1:4" x14ac:dyDescent="0.15">
      <c r="A55" s="3">
        <v>7</v>
      </c>
      <c r="B55" s="12" t="s">
        <v>27</v>
      </c>
      <c r="C55" s="7" t="s">
        <v>158</v>
      </c>
      <c r="D55" s="11" t="s">
        <v>90</v>
      </c>
    </row>
    <row r="56" spans="1:4" x14ac:dyDescent="0.15">
      <c r="A56" s="3">
        <v>7</v>
      </c>
      <c r="B56" s="12" t="s">
        <v>96</v>
      </c>
      <c r="C56" s="7" t="s">
        <v>159</v>
      </c>
      <c r="D56" s="11" t="s">
        <v>91</v>
      </c>
    </row>
    <row r="57" spans="1:4" x14ac:dyDescent="0.15">
      <c r="A57" s="3">
        <v>7</v>
      </c>
      <c r="B57" s="12" t="s">
        <v>97</v>
      </c>
      <c r="C57" s="7" t="s">
        <v>160</v>
      </c>
      <c r="D57" s="11" t="s">
        <v>92</v>
      </c>
    </row>
    <row r="58" spans="1:4" x14ac:dyDescent="0.15">
      <c r="A58" s="3">
        <v>7</v>
      </c>
      <c r="B58" s="12" t="s">
        <v>28</v>
      </c>
      <c r="C58" s="7" t="s">
        <v>161</v>
      </c>
      <c r="D58" s="11" t="s">
        <v>93</v>
      </c>
    </row>
    <row r="59" spans="1:4" x14ac:dyDescent="0.15">
      <c r="A59" s="3">
        <v>7</v>
      </c>
      <c r="B59" s="12" t="s">
        <v>121</v>
      </c>
      <c r="C59" s="7" t="s">
        <v>162</v>
      </c>
      <c r="D59" s="11" t="s">
        <v>112</v>
      </c>
    </row>
    <row r="60" spans="1:4" x14ac:dyDescent="0.15">
      <c r="A60" s="3">
        <v>8</v>
      </c>
      <c r="B60" s="12" t="s">
        <v>32</v>
      </c>
      <c r="C60" s="7" t="s">
        <v>149</v>
      </c>
      <c r="D60" s="11" t="s">
        <v>87</v>
      </c>
    </row>
    <row r="61" spans="1:4" x14ac:dyDescent="0.15">
      <c r="A61" s="3">
        <v>8</v>
      </c>
      <c r="B61" s="12" t="s">
        <v>94</v>
      </c>
      <c r="C61" s="7" t="s">
        <v>150</v>
      </c>
      <c r="D61" s="11" t="s">
        <v>88</v>
      </c>
    </row>
    <row r="62" spans="1:4" x14ac:dyDescent="0.15">
      <c r="A62" s="3">
        <v>8</v>
      </c>
      <c r="B62" s="12" t="s">
        <v>95</v>
      </c>
      <c r="C62" s="7" t="s">
        <v>151</v>
      </c>
      <c r="D62" s="11" t="s">
        <v>89</v>
      </c>
    </row>
    <row r="63" spans="1:4" x14ac:dyDescent="0.15">
      <c r="A63" s="3">
        <v>8</v>
      </c>
      <c r="B63" s="12" t="s">
        <v>27</v>
      </c>
      <c r="C63" s="7" t="s">
        <v>152</v>
      </c>
      <c r="D63" s="11" t="s">
        <v>90</v>
      </c>
    </row>
    <row r="64" spans="1:4" x14ac:dyDescent="0.15">
      <c r="A64" s="3">
        <v>8</v>
      </c>
      <c r="B64" s="12" t="s">
        <v>96</v>
      </c>
      <c r="C64" s="7" t="s">
        <v>153</v>
      </c>
      <c r="D64" s="11" t="s">
        <v>91</v>
      </c>
    </row>
    <row r="65" spans="1:4" x14ac:dyDescent="0.15">
      <c r="A65" s="3">
        <v>8</v>
      </c>
      <c r="B65" s="12" t="s">
        <v>97</v>
      </c>
      <c r="C65" s="7" t="s">
        <v>154</v>
      </c>
      <c r="D65" s="11" t="s">
        <v>92</v>
      </c>
    </row>
    <row r="66" spans="1:4" x14ac:dyDescent="0.15">
      <c r="A66" s="3">
        <v>8</v>
      </c>
      <c r="B66" s="12" t="s">
        <v>28</v>
      </c>
      <c r="C66" s="7" t="s">
        <v>171</v>
      </c>
      <c r="D66" s="11" t="s">
        <v>93</v>
      </c>
    </row>
    <row r="67" spans="1:4" x14ac:dyDescent="0.15">
      <c r="A67" s="3">
        <v>8</v>
      </c>
      <c r="B67" s="12" t="s">
        <v>121</v>
      </c>
      <c r="C67" s="7" t="s">
        <v>163</v>
      </c>
      <c r="D67" s="11" t="s">
        <v>112</v>
      </c>
    </row>
  </sheetData>
  <phoneticPr fontId="3" type="noConversion"/>
  <dataValidations count="1">
    <dataValidation allowBlank="1" showInputMessage="1" showErrorMessage="1" prompt="1.金币榜_x000a_2.成就榜_x000a_3.积分榜_x000a_4.保卫女神_x000a_5.水族馆_x000a_6.魅力榜_x000a_7.捕鱼积分榜_x000a_8.鲜花榜" sqref="A3" xr:uid="{00000000-0002-0000-0200-000000000000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rankgame_cfg</vt:lpstr>
      <vt:lpstr>ranklist_cfg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2017-12-01T09:10:05Z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