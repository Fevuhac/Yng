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F:\fishjoy_design\data_table_js-越南版\"/>
    </mc:Choice>
  </mc:AlternateContent>
  <bookViews>
    <workbookView xWindow="0" yWindow="0" windowWidth="28695" windowHeight="14580" activeTab="6" xr2:uid="{00000000-000D-0000-FFFF-FFFF00000000}"/>
  </bookViews>
  <sheets>
    <sheet name="description" sheetId="1" r:id="rId1"/>
    <sheet name="itemtype_const_cfg" sheetId="2" r:id="rId2"/>
    <sheet name="gift_cfg" sheetId="3" r:id="rId3"/>
    <sheet name="gold_cfg" sheetId="4" r:id="rId4"/>
    <sheet name="pearl_cfg" sheetId="5" r:id="rId5"/>
    <sheet name="card_cfg" sheetId="7" r:id="rId6"/>
    <sheet name="shop_buy_type_cfg" sheetId="9" r:id="rId7"/>
    <sheet name="fund_cfg" sheetId="8" r:id="rId8"/>
  </sheets>
  <functionGroups builtInGroupCount="19"/>
  <externalReferences>
    <externalReference r:id="rId9"/>
  </externalReferences>
  <calcPr calcId="171027"/>
</workbook>
</file>

<file path=xl/calcChain.xml><?xml version="1.0" encoding="utf-8"?>
<calcChain xmlns="http://schemas.openxmlformats.org/spreadsheetml/2006/main">
  <c r="B14" i="9" l="1"/>
  <c r="B13" i="9" l="1"/>
  <c r="B12" i="9" l="1"/>
  <c r="B6" i="9" l="1"/>
  <c r="B4" i="9" l="1"/>
  <c r="B5" i="9"/>
  <c r="B7" i="9"/>
  <c r="B8" i="9"/>
  <c r="B9" i="9"/>
  <c r="B10" i="9"/>
  <c r="F4" i="5" l="1"/>
  <c r="F5" i="5"/>
  <c r="F6" i="5"/>
  <c r="F7" i="5"/>
  <c r="F8" i="5"/>
  <c r="F9" i="5"/>
  <c r="C4" i="3" l="1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4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H9" i="5"/>
  <c r="H8" i="5"/>
  <c r="H7" i="5"/>
  <c r="H6" i="5"/>
  <c r="H5" i="5"/>
  <c r="H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china</author>
  </authors>
  <commentList>
    <comment ref="M3" authorId="0" shapeId="0" xr:uid="{00000000-0006-0000-0200-000001000000}">
      <text>
        <r>
          <rPr>
            <b/>
            <sz val="9"/>
            <rFont val="Tahoma"/>
            <family val="2"/>
          </rPr>
          <t xml:space="preserve">1 </t>
        </r>
        <r>
          <rPr>
            <b/>
            <sz val="9"/>
            <rFont val="宋体"/>
            <family val="3"/>
            <charset val="134"/>
          </rPr>
          <t>强制下架</t>
        </r>
      </text>
    </comment>
  </commentList>
</comments>
</file>

<file path=xl/sharedStrings.xml><?xml version="1.0" encoding="utf-8"?>
<sst xmlns="http://schemas.openxmlformats.org/spreadsheetml/2006/main" count="361" uniqueCount="203">
  <si>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</si>
  <si>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</si>
  <si>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</si>
  <si>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</si>
  <si>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</si>
  <si>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</si>
  <si>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</si>
  <si>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</si>
  <si>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</si>
  <si>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</si>
  <si>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itemtype_const_cfg——商品类型定义</t>
  </si>
  <si>
    <t>gift_cfg——礼包，gold_cfg——金币，pearl_cfg——珍珠，vip_cfg——vip</t>
  </si>
  <si>
    <t>value</t>
  </si>
  <si>
    <t>string</t>
  </si>
  <si>
    <t>备注</t>
  </si>
  <si>
    <t>IT_PEARL</t>
  </si>
  <si>
    <t>商品钻石</t>
  </si>
  <si>
    <t>IT_GOLD</t>
  </si>
  <si>
    <t>商品金币</t>
  </si>
  <si>
    <t>IT_VIP</t>
  </si>
  <si>
    <t>商品VIP</t>
  </si>
  <si>
    <t>IT_CARD</t>
  </si>
  <si>
    <t>商品月卡</t>
  </si>
  <si>
    <t>IT_GIFT</t>
  </si>
  <si>
    <t>商品礼包</t>
  </si>
  <si>
    <t>IT_FUND</t>
  </si>
  <si>
    <t>翻盘基金</t>
  </si>
  <si>
    <t>id</t>
  </si>
  <si>
    <t>icon</t>
  </si>
  <si>
    <t>price</t>
  </si>
  <si>
    <t>item</t>
  </si>
  <si>
    <t>condition</t>
  </si>
  <si>
    <t>starttime</t>
  </si>
  <si>
    <t>endtime</t>
  </si>
  <si>
    <t>buycount</t>
  </si>
  <si>
    <t>version</t>
  </si>
  <si>
    <t>revoke</t>
  </si>
  <si>
    <t>discount</t>
  </si>
  <si>
    <t>int</t>
  </si>
  <si>
    <t>table</t>
  </si>
  <si>
    <t>显示图标</t>
  </si>
  <si>
    <t>价格</t>
  </si>
  <si>
    <t>礼包内容</t>
  </si>
  <si>
    <t>礼包条件</t>
  </si>
  <si>
    <t>条件参数</t>
  </si>
  <si>
    <t>礼包开始时间</t>
  </si>
  <si>
    <t>礼包截止时间</t>
  </si>
  <si>
    <t>可购买次数</t>
  </si>
  <si>
    <t>版本号</t>
  </si>
  <si>
    <t>是否强制下架</t>
  </si>
  <si>
    <t>折扣</t>
  </si>
  <si>
    <t>小型礼包</t>
  </si>
  <si>
    <t>gifts</t>
  </si>
  <si>
    <t>中型礼包</t>
  </si>
  <si>
    <t>大型礼包</t>
  </si>
  <si>
    <t>奢华礼包</t>
  </si>
  <si>
    <t>豪华礼包</t>
  </si>
  <si>
    <t>needdiamond</t>
  </si>
  <si>
    <t>gold_base</t>
  </si>
  <si>
    <t>gold_level</t>
  </si>
  <si>
    <t>购买次数</t>
  </si>
  <si>
    <t>unexport</t>
  </si>
  <si>
    <t>物品 key值</t>
  </si>
  <si>
    <t>名称</t>
  </si>
  <si>
    <t>zs6_1</t>
  </si>
  <si>
    <t>zs10_1</t>
  </si>
  <si>
    <t>zs18_1</t>
  </si>
  <si>
    <t>zs28_1</t>
  </si>
  <si>
    <t>zs48_1</t>
  </si>
  <si>
    <t>zs68_1</t>
  </si>
  <si>
    <t>diamond</t>
  </si>
  <si>
    <t>everyday</t>
  </si>
  <si>
    <t>hitrate</t>
  </si>
  <si>
    <t>月卡类型</t>
  </si>
  <si>
    <t>价格¥</t>
  </si>
  <si>
    <t>一次性赠送钻石</t>
  </si>
  <si>
    <t>捕鱼命中系数</t>
  </si>
  <si>
    <t>普通月卡</t>
  </si>
  <si>
    <t>壕月卡</t>
  </si>
  <si>
    <t>gold</t>
  </si>
  <si>
    <t>weaponlevel</t>
  </si>
  <si>
    <t>changerate</t>
  </si>
  <si>
    <t>基金类型</t>
  </si>
  <si>
    <t>赠送金币</t>
  </si>
  <si>
    <t>最高可用炮倍率</t>
  </si>
  <si>
    <t>每次开炮衰减</t>
  </si>
  <si>
    <t>一元翻盘基金</t>
  </si>
  <si>
    <t>十元翻盘基金</t>
  </si>
  <si>
    <t>funid</t>
  </si>
  <si>
    <t>funid</t>
    <phoneticPr fontId="9" type="noConversion"/>
  </si>
  <si>
    <t>int</t>
    <phoneticPr fontId="9" type="noConversion"/>
  </si>
  <si>
    <t>玩吧id</t>
  </si>
  <si>
    <t>玩吧id</t>
    <phoneticPr fontId="9" type="noConversion"/>
  </si>
  <si>
    <t>备注2</t>
  </si>
  <si>
    <t>funidiOS</t>
    <phoneticPr fontId="9" type="noConversion"/>
  </si>
  <si>
    <t>玩吧idiOS</t>
    <phoneticPr fontId="9" type="noConversion"/>
  </si>
  <si>
    <t>funidiOS</t>
    <phoneticPr fontId="9" type="noConversion"/>
  </si>
  <si>
    <t>int</t>
    <phoneticPr fontId="9" type="noConversion"/>
  </si>
  <si>
    <t>float</t>
    <phoneticPr fontId="9" type="noConversion"/>
  </si>
  <si>
    <t>float</t>
    <phoneticPr fontId="9" type="noConversion"/>
  </si>
  <si>
    <t>2017/09/25&amp;00:00:00</t>
    <phoneticPr fontId="9" type="noConversion"/>
  </si>
  <si>
    <t>2017/09/26&amp;00:00:00</t>
    <phoneticPr fontId="9" type="noConversion"/>
  </si>
  <si>
    <t>青铜弹头礼包</t>
    <phoneticPr fontId="9" type="noConversion"/>
  </si>
  <si>
    <t>锻造材料礼包</t>
    <phoneticPr fontId="9" type="noConversion"/>
  </si>
  <si>
    <t>鲜花礼包</t>
    <phoneticPr fontId="9" type="noConversion"/>
  </si>
  <si>
    <t>随机金币礼包</t>
    <phoneticPr fontId="9" type="noConversion"/>
  </si>
  <si>
    <t>喇叭礼包</t>
    <phoneticPr fontId="9" type="noConversion"/>
  </si>
  <si>
    <t>冰冻礼包</t>
    <phoneticPr fontId="9" type="noConversion"/>
  </si>
  <si>
    <t>白银弹头礼包</t>
    <phoneticPr fontId="9" type="noConversion"/>
  </si>
  <si>
    <t>黄金弹头礼包</t>
    <phoneticPr fontId="9" type="noConversion"/>
  </si>
  <si>
    <t>2017/09/28&amp;00:00:00</t>
    <phoneticPr fontId="9" type="noConversion"/>
  </si>
  <si>
    <t>2017/09/27&amp;00:00:00</t>
    <phoneticPr fontId="9" type="noConversion"/>
  </si>
  <si>
    <t>2017/09/29&amp;00:00:00</t>
    <phoneticPr fontId="9" type="noConversion"/>
  </si>
  <si>
    <t>2017/09/30&amp;00:00:00</t>
    <phoneticPr fontId="9" type="noConversion"/>
  </si>
  <si>
    <t>2017/10/01&amp;00:00:00</t>
    <phoneticPr fontId="9" type="noConversion"/>
  </si>
  <si>
    <t>2017/10/02&amp;00:00:00</t>
    <phoneticPr fontId="9" type="noConversion"/>
  </si>
  <si>
    <t>2017/10/03&amp;00:00:00</t>
    <phoneticPr fontId="9" type="noConversion"/>
  </si>
  <si>
    <t>2017/10/04&amp;00:00:00</t>
    <phoneticPr fontId="9" type="noConversion"/>
  </si>
  <si>
    <t>2017/10/05&amp;00:00:00</t>
    <phoneticPr fontId="9" type="noConversion"/>
  </si>
  <si>
    <t>2017/10/06&amp;00:00:00</t>
    <phoneticPr fontId="9" type="noConversion"/>
  </si>
  <si>
    <t>2017/10/07&amp;00:00:00</t>
    <phoneticPr fontId="9" type="noConversion"/>
  </si>
  <si>
    <t>2017/10/08&amp;00:00:00</t>
    <phoneticPr fontId="9" type="noConversion"/>
  </si>
  <si>
    <t>2017/10/09&amp;00:00:00</t>
    <phoneticPr fontId="9" type="noConversion"/>
  </si>
  <si>
    <t>2017/10/10&amp;00:00:00</t>
    <phoneticPr fontId="9" type="noConversion"/>
  </si>
  <si>
    <t>2017/10/11&amp;00:00:00</t>
    <phoneticPr fontId="9" type="noConversion"/>
  </si>
  <si>
    <t>2017/10/12&amp;00:00:00</t>
    <phoneticPr fontId="9" type="noConversion"/>
  </si>
  <si>
    <t>2017/10/13&amp;00:00:00</t>
    <phoneticPr fontId="9" type="noConversion"/>
  </si>
  <si>
    <t>2017/10/14&amp;00:00:00</t>
    <phoneticPr fontId="9" type="noConversion"/>
  </si>
  <si>
    <t>2017/10/15&amp;00:00:00</t>
    <phoneticPr fontId="9" type="noConversion"/>
  </si>
  <si>
    <t>2017/10/17&amp;00:00:00</t>
    <phoneticPr fontId="9" type="noConversion"/>
  </si>
  <si>
    <t>2017/10/19&amp;00:00:00</t>
    <phoneticPr fontId="9" type="noConversion"/>
  </si>
  <si>
    <t>2017/10/21&amp;00:00:00</t>
    <phoneticPr fontId="9" type="noConversion"/>
  </si>
  <si>
    <t>2017/10/22&amp;00:00:00</t>
    <phoneticPr fontId="9" type="noConversion"/>
  </si>
  <si>
    <t>2017/10/23&amp;00:00:00</t>
    <phoneticPr fontId="9" type="noConversion"/>
  </si>
  <si>
    <t>2017/10/24&amp;00:00:00</t>
    <phoneticPr fontId="9" type="noConversion"/>
  </si>
  <si>
    <t>2017/10/25&amp;00:00:00</t>
    <phoneticPr fontId="9" type="noConversion"/>
  </si>
  <si>
    <t>2017/10/27&amp;00:00:00</t>
    <phoneticPr fontId="9" type="noConversion"/>
  </si>
  <si>
    <t>2017/10/29&amp;00:00:00</t>
    <phoneticPr fontId="9" type="noConversion"/>
  </si>
  <si>
    <t>2017/10/31&amp;00:00:00</t>
    <phoneticPr fontId="9" type="noConversion"/>
  </si>
  <si>
    <t>2017/10/16&amp;00:00:00</t>
    <phoneticPr fontId="9" type="noConversion"/>
  </si>
  <si>
    <t>2017/10/18&amp;00:00:00</t>
    <phoneticPr fontId="9" type="noConversion"/>
  </si>
  <si>
    <t>2017/10/20&amp;00:00:00</t>
    <phoneticPr fontId="9" type="noConversion"/>
  </si>
  <si>
    <t>2017/10/26&amp;00:00:00</t>
    <phoneticPr fontId="9" type="noConversion"/>
  </si>
  <si>
    <t>2017/10/28&amp;00:00:00</t>
    <phoneticPr fontId="9" type="noConversion"/>
  </si>
  <si>
    <t>2017/10/30&amp;00:00:00</t>
    <phoneticPr fontId="9" type="noConversion"/>
  </si>
  <si>
    <t>2017/11/31&amp;00:00:00</t>
    <phoneticPr fontId="9" type="noConversion"/>
  </si>
  <si>
    <t>包含100000金币和100钻石</t>
  </si>
  <si>
    <t>包含8青铜弹头和100钻石</t>
  </si>
  <si>
    <t>包含10随机金币卡和50钻石</t>
  </si>
  <si>
    <t>包含200000金币和200钻石</t>
  </si>
  <si>
    <t>包含10白银弹头和50000金币</t>
  </si>
  <si>
    <t>包含50冰冻和100000金币</t>
  </si>
  <si>
    <t>包含25喇叭和50000金币</t>
  </si>
  <si>
    <t>包含180锻造材料包和150钻石</t>
  </si>
  <si>
    <t>包含300000金币和300钻石</t>
  </si>
  <si>
    <t>包含20鲜花和50钻石</t>
  </si>
  <si>
    <t>包含400000金币和400钻石</t>
  </si>
  <si>
    <t>包含8黄金弹头和100钻石</t>
  </si>
  <si>
    <t>包含500000金币和500钻石</t>
  </si>
  <si>
    <t>每日领取</t>
    <phoneticPr fontId="9" type="noConversion"/>
  </si>
  <si>
    <t>BUY_RMB</t>
  </si>
  <si>
    <t>string</t>
    <phoneticPr fontId="9" type="noConversion"/>
  </si>
  <si>
    <t>i001</t>
    <phoneticPr fontId="9" type="noConversion"/>
  </si>
  <si>
    <t>购买金币</t>
    <phoneticPr fontId="9" type="noConversion"/>
  </si>
  <si>
    <t>i002</t>
    <phoneticPr fontId="9" type="noConversion"/>
  </si>
  <si>
    <t>key</t>
    <phoneticPr fontId="9" type="noConversion"/>
  </si>
  <si>
    <t>BUY_SKIN</t>
  </si>
  <si>
    <t>BUY_SKILL</t>
  </si>
  <si>
    <t>GODDESS_UP</t>
  </si>
  <si>
    <t>PETFISH_UP</t>
  </si>
  <si>
    <t>name</t>
    <phoneticPr fontId="9" type="noConversion"/>
  </si>
  <si>
    <t>id</t>
    <phoneticPr fontId="9" type="noConversion"/>
  </si>
  <si>
    <t>类别</t>
    <phoneticPr fontId="9" type="noConversion"/>
  </si>
  <si>
    <t>类别名</t>
    <phoneticPr fontId="9" type="noConversion"/>
  </si>
  <si>
    <t>string</t>
    <phoneticPr fontId="9" type="noConversion"/>
  </si>
  <si>
    <t>BUY_GOLD_COST</t>
    <phoneticPr fontId="9" type="noConversion"/>
  </si>
  <si>
    <t>BUY_GOLD_GAIN</t>
    <phoneticPr fontId="9" type="noConversion"/>
  </si>
  <si>
    <t>花费金币</t>
    <phoneticPr fontId="9" type="noConversion"/>
  </si>
  <si>
    <t>购买钻石基数</t>
    <phoneticPr fontId="9" type="noConversion"/>
  </si>
  <si>
    <t>钻石等级系数</t>
    <phoneticPr fontId="9" type="noConversion"/>
  </si>
  <si>
    <t>BUY_VIPGIFT</t>
    <phoneticPr fontId="9" type="noConversion"/>
  </si>
  <si>
    <t>gold</t>
    <phoneticPr fontId="9" type="noConversion"/>
  </si>
  <si>
    <t>备注</t>
    <phoneticPr fontId="9" type="noConversion"/>
  </si>
  <si>
    <t>充值</t>
    <phoneticPr fontId="9" type="noConversion"/>
  </si>
  <si>
    <t>买金币花费</t>
    <phoneticPr fontId="9" type="noConversion"/>
  </si>
  <si>
    <t>买金币获得</t>
    <phoneticPr fontId="9" type="noConversion"/>
  </si>
  <si>
    <t>买皮肤</t>
    <phoneticPr fontId="9" type="noConversion"/>
  </si>
  <si>
    <t>买技能</t>
    <phoneticPr fontId="9" type="noConversion"/>
  </si>
  <si>
    <t>女神升级</t>
    <phoneticPr fontId="9" type="noConversion"/>
  </si>
  <si>
    <t>宠物鱼升级</t>
    <phoneticPr fontId="9" type="noConversion"/>
  </si>
  <si>
    <t>买VIP礼包</t>
    <phoneticPr fontId="9" type="noConversion"/>
  </si>
  <si>
    <r>
      <t>S</t>
    </r>
    <r>
      <rPr>
        <sz val="11"/>
        <color theme="1"/>
        <rFont val="宋体"/>
        <family val="3"/>
        <charset val="134"/>
        <scheme val="minor"/>
      </rPr>
      <t>ALE_ITEM</t>
    </r>
    <phoneticPr fontId="9" type="noConversion"/>
  </si>
  <si>
    <t>道具出售</t>
    <phoneticPr fontId="9" type="noConversion"/>
  </si>
  <si>
    <t>[["i001",6000],["i011",2],["i002",30],["i012",2]]</t>
    <phoneticPr fontId="9" type="noConversion"/>
  </si>
  <si>
    <t>[["i400",2],["i011",5],["i013",5],["i001",30000],["i002",60],["i012",5]]</t>
    <phoneticPr fontId="9" type="noConversion"/>
  </si>
  <si>
    <t>table</t>
    <phoneticPr fontId="9" type="noConversion"/>
  </si>
  <si>
    <t>首次倍数</t>
    <phoneticPr fontId="9" type="noConversion"/>
  </si>
  <si>
    <t>int</t>
    <phoneticPr fontId="9" type="noConversion"/>
  </si>
  <si>
    <t>firstratio</t>
    <phoneticPr fontId="9" type="noConversion"/>
  </si>
  <si>
    <t>购买喇叭</t>
    <phoneticPr fontId="9" type="noConversion"/>
  </si>
  <si>
    <t>打赏购买</t>
    <phoneticPr fontId="9" type="noConversion"/>
  </si>
  <si>
    <t>REWARD_PEOPLE</t>
    <phoneticPr fontId="9" type="noConversion"/>
  </si>
  <si>
    <t>CHAT_COST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</si>
</sst>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宋体"/>
      <charset val="134"/>
      <scheme val="minor"/>
    </font>
    <font>
      <sz val="10.5"/>
      <color rgb="FF333333"/>
      <name val="punctuation"/>
      <family val="1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b/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rgb="FF333333"/>
      <name val="punctuation"/>
      <family val="1"/>
    </font>
    <font>
      <sz val="10"/>
      <color indexed="8"/>
      <name val="宋体"/>
      <family val="3"/>
      <charset val="134"/>
    </font>
    <font>
      <sz val="9"/>
      <color indexed="8"/>
      <name val="微软雅黑"/>
      <family val="2"/>
      <charset val="134"/>
    </font>
    <font>
      <sz val="9"/>
      <color theme="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6" fillId="0" borderId="0">
      <alignment vertical="center"/>
    </xf>
  </cellStyleXfs>
  <cellXfs count="47">
    <xf numFmtId="0" fontId="0" fillId="0" borderId="0" xfId="0"/>
    <xf numFmtId="0" fontId="1" fillId="0" borderId="0" xfId="0" applyFont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/>
    </xf>
    <xf numFmtId="49" fontId="2" fillId="3" borderId="2" xfId="0" applyNumberFormat="1" applyFont="1" applyFill="1" applyBorder="1" applyAlignment="1">
      <alignment horizontal="center" vertical="center"/>
    </xf>
    <xf numFmtId="0" fontId="3" fillId="0" borderId="0" xfId="0" applyFont="1"/>
    <xf numFmtId="0" fontId="2" fillId="4" borderId="3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</xf>
    <xf numFmtId="0" fontId="0" fillId="0" borderId="6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5" borderId="7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0" fontId="0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0" fillId="0" borderId="0" xfId="0" applyFill="1"/>
    <xf numFmtId="0" fontId="4" fillId="0" borderId="0" xfId="0" applyFont="1"/>
    <xf numFmtId="49" fontId="5" fillId="2" borderId="1" xfId="0" applyNumberFormat="1" applyFont="1" applyFill="1" applyBorder="1" applyAlignment="1">
      <alignment horizontal="center"/>
    </xf>
    <xf numFmtId="49" fontId="5" fillId="3" borderId="2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4" fillId="0" borderId="10" xfId="0" applyFont="1" applyBorder="1"/>
    <xf numFmtId="0" fontId="4" fillId="0" borderId="0" xfId="0" applyFont="1" applyFill="1"/>
    <xf numFmtId="0" fontId="6" fillId="0" borderId="0" xfId="0" applyFont="1" applyFill="1" applyAlignment="1"/>
    <xf numFmtId="0" fontId="6" fillId="0" borderId="0" xfId="0" applyNumberFormat="1" applyFont="1" applyFill="1" applyAlignment="1">
      <alignment horizontal="left" vertical="center"/>
    </xf>
    <xf numFmtId="0" fontId="6" fillId="0" borderId="0" xfId="0" applyNumberFormat="1" applyFont="1" applyFill="1" applyBorder="1" applyAlignment="1">
      <alignment horizontal="left" vertical="center"/>
    </xf>
    <xf numFmtId="0" fontId="6" fillId="0" borderId="0" xfId="1" applyAlignment="1"/>
    <xf numFmtId="49" fontId="2" fillId="2" borderId="1" xfId="1" applyNumberFormat="1" applyFont="1" applyFill="1" applyBorder="1" applyAlignment="1">
      <alignment horizontal="center"/>
    </xf>
    <xf numFmtId="49" fontId="2" fillId="3" borderId="2" xfId="1" applyNumberFormat="1" applyFont="1" applyFill="1" applyBorder="1" applyAlignment="1">
      <alignment horizontal="center" vertical="center"/>
    </xf>
    <xf numFmtId="0" fontId="2" fillId="4" borderId="1" xfId="1" applyFont="1" applyFill="1" applyBorder="1" applyAlignment="1" applyProtection="1">
      <alignment horizontal="center"/>
    </xf>
    <xf numFmtId="0" fontId="2" fillId="6" borderId="6" xfId="1" applyNumberFormat="1" applyFont="1" applyFill="1" applyBorder="1" applyAlignment="1">
      <alignment horizontal="center" vertical="center"/>
    </xf>
    <xf numFmtId="0" fontId="10" fillId="0" borderId="0" xfId="0" applyFont="1"/>
    <xf numFmtId="0" fontId="11" fillId="0" borderId="0" xfId="0" applyFont="1" applyAlignment="1">
      <alignment horizontal="center" vertical="center" wrapText="1"/>
    </xf>
    <xf numFmtId="0" fontId="12" fillId="0" borderId="0" xfId="0" applyFont="1" applyFill="1" applyAlignment="1"/>
    <xf numFmtId="49" fontId="13" fillId="2" borderId="1" xfId="0" applyNumberFormat="1" applyFont="1" applyFill="1" applyBorder="1" applyAlignment="1">
      <alignment horizontal="center"/>
    </xf>
    <xf numFmtId="0" fontId="14" fillId="0" borderId="0" xfId="0" applyFont="1"/>
    <xf numFmtId="49" fontId="13" fillId="3" borderId="2" xfId="0" applyNumberFormat="1" applyFont="1" applyFill="1" applyBorder="1" applyAlignment="1">
      <alignment horizontal="center" vertical="center"/>
    </xf>
    <xf numFmtId="49" fontId="13" fillId="2" borderId="1" xfId="0" applyNumberFormat="1" applyFont="1" applyFill="1" applyBorder="1" applyAlignment="1">
      <alignment horizontal="right"/>
    </xf>
    <xf numFmtId="49" fontId="13" fillId="3" borderId="2" xfId="0" applyNumberFormat="1" applyFont="1" applyFill="1" applyBorder="1" applyAlignment="1">
      <alignment horizontal="right" vertical="center"/>
    </xf>
    <xf numFmtId="0" fontId="3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NumberFormat="1" applyAlignment="1">
      <alignment horizontal="right"/>
    </xf>
    <xf numFmtId="0" fontId="2" fillId="4" borderId="0" xfId="0" applyFont="1" applyFill="1" applyBorder="1" applyAlignment="1" applyProtection="1">
      <alignment horizontal="center"/>
    </xf>
    <xf numFmtId="0" fontId="0" fillId="5" borderId="0" xfId="0" applyFont="1" applyFill="1" applyBorder="1" applyAlignment="1">
      <alignment horizontal="center" vertical="center"/>
    </xf>
    <xf numFmtId="0" fontId="6" fillId="0" borderId="0" xfId="1" applyNumberFormat="1" applyAlignment="1"/>
    <xf numFmtId="0" fontId="6" fillId="0" borderId="0" xfId="1" applyNumberFormat="1" applyAlignment="1">
      <alignment vertical="top" wrapText="1"/>
    </xf>
    <xf numFmtId="0" fontId="6" fillId="0" borderId="0" xfId="1" applyNumberFormat="1" applyAlignment="1">
      <alignment vertical="top"/>
    </xf>
  </cellXfs>
  <cellStyles count="2">
    <cellStyle name="常规" xfId="0" builtinId="0"/>
    <cellStyle name="常规 2" xfId="1" xr:uid="{00000000-0005-0000-0000-000001000000}"/>
  </cellStyles>
  <dxfs count="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indexed="8"/>
        <name val="punctuation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rgb="FF333333"/>
        <name val="punctuation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rgb="FF333333"/>
        <name val="punctuation"/>
        <family val="3"/>
        <scheme val="none"/>
      </font>
      <alignment horizontal="center" vertical="center" textRotation="0" wrapText="1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punctuation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punctuatio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</font>
    </dxf>
    <dxf>
      <font>
        <strike val="0"/>
        <outline val="0"/>
        <shadow val="0"/>
        <u val="none"/>
        <vertAlign val="baseline"/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charset val="134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indexed="8"/>
        <name val="punctuation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rgb="FF333333"/>
        <name val="punctuation"/>
        <family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indexed="8"/>
        <name val="punctuation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punctuation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266700</xdr:colOff>
      <xdr:row>2</xdr:row>
      <xdr:rowOff>95250</xdr:rowOff>
    </xdr:to>
    <xdr:sp macro="[0]!导jason" textlink="">
      <xdr:nvSpPr>
        <xdr:cNvPr id="2" name="矩形 1">
          <a:extLst>
            <a:ext uri="{FF2B5EF4-FFF2-40B4-BE49-F238E27FC236}">
              <a16:creationId xmlns:a16="http://schemas.microsoft.com/office/drawing/2014/main" id="{66765A73-BC94-4601-8E52-543C4C870331}"/>
            </a:ext>
          </a:extLst>
        </xdr:cNvPr>
        <xdr:cNvSpPr/>
      </xdr:nvSpPr>
      <xdr:spPr>
        <a:xfrm>
          <a:off x="0" y="0"/>
          <a:ext cx="266700" cy="5143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266700</xdr:colOff>
      <xdr:row>2</xdr:row>
      <xdr:rowOff>95250</xdr:rowOff>
    </xdr:to>
    <xdr:sp macro="[0]!导jason" textlink="">
      <xdr:nvSpPr>
        <xdr:cNvPr id="2" name="矩形 1">
          <a:extLst>
            <a:ext uri="{FF2B5EF4-FFF2-40B4-BE49-F238E27FC236}">
              <a16:creationId xmlns:a16="http://schemas.microsoft.com/office/drawing/2014/main" id="{C3D4CE98-41CD-49C0-B810-93609A0675BD}"/>
            </a:ext>
          </a:extLst>
        </xdr:cNvPr>
        <xdr:cNvSpPr/>
      </xdr:nvSpPr>
      <xdr:spPr>
        <a:xfrm>
          <a:off x="0" y="0"/>
          <a:ext cx="266700" cy="5143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0</xdr:col>
      <xdr:colOff>266700</xdr:colOff>
      <xdr:row>2</xdr:row>
      <xdr:rowOff>171451</xdr:rowOff>
    </xdr:to>
    <xdr:sp macro="[0]!导jason" textlink="">
      <xdr:nvSpPr>
        <xdr:cNvPr id="2" name="矩形 1">
          <a:extLst>
            <a:ext uri="{FF2B5EF4-FFF2-40B4-BE49-F238E27FC236}">
              <a16:creationId xmlns:a16="http://schemas.microsoft.com/office/drawing/2014/main" id="{F9A63393-6423-44F8-BC82-9D21172DCED9}"/>
            </a:ext>
          </a:extLst>
        </xdr:cNvPr>
        <xdr:cNvSpPr/>
      </xdr:nvSpPr>
      <xdr:spPr>
        <a:xfrm>
          <a:off x="0" y="1"/>
          <a:ext cx="266700" cy="5334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&#25968;&#20540;&#25991;&#26723;\&#25429;&#40060;&#32463;&#27982;&#25968;&#20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经济汇总"/>
      <sheetName val="经济框架"/>
      <sheetName val="任务"/>
      <sheetName val="奖金"/>
      <sheetName val="掉落"/>
      <sheetName val="水族馆"/>
      <sheetName val="女神"/>
      <sheetName val="角色"/>
      <sheetName val="抽奖"/>
      <sheetName val="VIP"/>
      <sheetName val="排位赛"/>
      <sheetName val="实物兑换"/>
      <sheetName val="签到"/>
      <sheetName val="活动"/>
      <sheetName val="限时礼包"/>
      <sheetName val="排行榜"/>
      <sheetName val="Sheet2"/>
      <sheetName val="人生赢家"/>
      <sheetName val="捕鱼经济数值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表2" displayName="表2" ref="A3:F4" totalsRowShown="0">
  <autoFilter ref="A3:F4" xr:uid="{00000000-0009-0000-0100-000002000000}"/>
  <tableColumns count="6">
    <tableColumn id="1" xr3:uid="{00000000-0010-0000-0000-000001000000}" name="商品钻石"/>
    <tableColumn id="2" xr3:uid="{00000000-0010-0000-0000-000002000000}" name="商品金币"/>
    <tableColumn id="3" xr3:uid="{00000000-0010-0000-0000-000003000000}" name="商品VIP"/>
    <tableColumn id="4" xr3:uid="{00000000-0010-0000-0000-000004000000}" name="商品月卡" dataDxfId="26"/>
    <tableColumn id="5" xr3:uid="{00000000-0010-0000-0000-000005000000}" name="商品礼包" dataDxfId="25"/>
    <tableColumn id="6" xr3:uid="{00000000-0010-0000-0000-000006000000}" name="翻盘基金" dataDxfId="24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3:P31" totalsRowShown="0">
  <autoFilter ref="A3:P31" xr:uid="{00000000-0009-0000-0100-000001000000}"/>
  <sortState ref="A4:P31">
    <sortCondition ref="A5"/>
  </sortState>
  <tableColumns count="16">
    <tableColumn id="1" xr3:uid="{00000000-0010-0000-0100-000001000000}" name="id"/>
    <tableColumn id="15" xr3:uid="{00000000-0010-0000-0100-00000F000000}" name="玩吧id" dataDxfId="23">
      <calculatedColumnFormula>VLOOKUP(表1[[#This Row],[备注2]],[1]!表1[#Data],3,FALSE)</calculatedColumnFormula>
    </tableColumn>
    <tableColumn id="16" xr3:uid="{00000000-0010-0000-0100-000010000000}" name="玩吧idiOS" dataDxfId="22">
      <calculatedColumnFormula>VLOOKUP(表1[[#This Row],[备注2]],[1]!表1[#Data],4,FALSE)</calculatedColumnFormula>
    </tableColumn>
    <tableColumn id="4" xr3:uid="{00000000-0010-0000-0100-000004000000}" name="显示图标"/>
    <tableColumn id="5" xr3:uid="{00000000-0010-0000-0100-000005000000}" name="价格" dataDxfId="21">
      <calculatedColumnFormula>VLOOKUP(表1[[#This Row],[备注2]],[1]!表1[#Data],5,FALSE)</calculatedColumnFormula>
    </tableColumn>
    <tableColumn id="6" xr3:uid="{00000000-0010-0000-0100-000006000000}" name="礼包内容">
      <calculatedColumnFormula>VLOOKUP(表1[[#This Row],[备注2]],[1]!表1[#Data],19,FALSE)</calculatedColumnFormula>
    </tableColumn>
    <tableColumn id="7" xr3:uid="{00000000-0010-0000-0100-000007000000}" name="礼包条件"/>
    <tableColumn id="8" xr3:uid="{00000000-0010-0000-0100-000008000000}" name="条件参数"/>
    <tableColumn id="9" xr3:uid="{00000000-0010-0000-0100-000009000000}" name="礼包开始时间"/>
    <tableColumn id="10" xr3:uid="{00000000-0010-0000-0100-00000A000000}" name="礼包截止时间"/>
    <tableColumn id="11" xr3:uid="{00000000-0010-0000-0100-00000B000000}" name="可购买次数"/>
    <tableColumn id="12" xr3:uid="{00000000-0010-0000-0100-00000C000000}" name="版本号"/>
    <tableColumn id="13" xr3:uid="{00000000-0010-0000-0100-00000D000000}" name="是否强制下架"/>
    <tableColumn id="14" xr3:uid="{00000000-0010-0000-0100-00000E000000}" name="折扣" dataDxfId="20"/>
    <tableColumn id="3" xr3:uid="{00000000-0010-0000-0100-000003000000}" name="备注2"/>
    <tableColumn id="2" xr3:uid="{00000000-0010-0000-0100-000002000000}" name="备注" dataDxfId="19"/>
  </tableColumns>
  <tableStyleInfo name="TableStyleMedium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3:D33" totalsRowShown="0">
  <autoFilter ref="A3:D33" xr:uid="{00000000-0009-0000-0100-000003000000}"/>
  <tableColumns count="4">
    <tableColumn id="1" xr3:uid="{00000000-0010-0000-0200-000001000000}" name="购买次数"/>
    <tableColumn id="2" xr3:uid="{00000000-0010-0000-0200-000002000000}" name="花费金币"/>
    <tableColumn id="3" xr3:uid="{00000000-0010-0000-0200-000003000000}" name="购买钻石基数"/>
    <tableColumn id="4" xr3:uid="{00000000-0010-0000-0200-000004000000}" name="钻石等级系数"/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表4" displayName="表4" ref="A3:H9" totalsRowShown="0">
  <autoFilter ref="A3:H9" xr:uid="{00000000-0009-0000-0100-000004000000}"/>
  <tableColumns count="8">
    <tableColumn id="1" xr3:uid="{00000000-0010-0000-0300-000001000000}" name="物品 key值"/>
    <tableColumn id="6" xr3:uid="{00000000-0010-0000-0300-000006000000}" name="玩吧id" dataDxfId="18"/>
    <tableColumn id="7" xr3:uid="{00000000-0010-0000-0300-000007000000}" name="玩吧idiOS" dataDxfId="17"/>
    <tableColumn id="2" xr3:uid="{00000000-0010-0000-0300-000002000000}" name="显示图标"/>
    <tableColumn id="3" xr3:uid="{00000000-0010-0000-0300-000003000000}" name="价格"/>
    <tableColumn id="4" xr3:uid="{00000000-0010-0000-0300-000004000000}" name="礼包内容" dataDxfId="16">
      <calculatedColumnFormula>表4[[#This Row],[价格]]*3</calculatedColumnFormula>
    </tableColumn>
    <tableColumn id="8" xr3:uid="{11952F32-432C-4138-92F7-B7160616F68D}" name="首次倍数" dataDxfId="15"/>
    <tableColumn id="5" xr3:uid="{00000000-0010-0000-0300-000005000000}" name="名称">
      <calculatedColumnFormula>表4[[#This Row],[礼包内容]]&amp;"钻石"</calculatedColumnFormula>
    </tableColumn>
  </tableColumns>
  <tableStyleInfo name="TableStyleMedium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表4_7" displayName="表4_7" ref="A3:H5" totalsRowShown="0" dataDxfId="14">
  <autoFilter ref="A3:H5" xr:uid="{00000000-0009-0000-0100-000006000000}"/>
  <tableColumns count="8">
    <tableColumn id="1" xr3:uid="{00000000-0010-0000-0400-000001000000}" name="月卡类型" dataDxfId="13"/>
    <tableColumn id="7" xr3:uid="{00000000-0010-0000-0400-000007000000}" name="玩吧id" dataDxfId="12"/>
    <tableColumn id="8" xr3:uid="{00000000-0010-0000-0400-000008000000}" name="玩吧idiOS" dataDxfId="11"/>
    <tableColumn id="2" xr3:uid="{00000000-0010-0000-0400-000002000000}" name="价格¥" dataDxfId="10"/>
    <tableColumn id="3" xr3:uid="{00000000-0010-0000-0400-000003000000}" name="一次性赠送钻石" dataDxfId="9"/>
    <tableColumn id="4" xr3:uid="{00000000-0010-0000-0400-000004000000}" name="每日领取" dataDxfId="8"/>
    <tableColumn id="5" xr3:uid="{00000000-0010-0000-0400-000005000000}" name="捕鱼命中系数" dataDxfId="7"/>
    <tableColumn id="6" xr3:uid="{00000000-0010-0000-0400-000006000000}" name="备注" dataDxfId="6"/>
  </tableColumns>
  <tableStyleInfo name="TableStyleMedium1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2906BD3-0F0F-41E1-AFF9-EE150F607CF3}" name="表4_786" displayName="表4_786" ref="A3:D14" totalsRowShown="0" headerRowDxfId="5">
  <autoFilter ref="A3:D14" xr:uid="{BF7B0E26-C8EF-4D37-8E55-97D4D92BB777}"/>
  <tableColumns count="4">
    <tableColumn id="1" xr3:uid="{3A33A046-A6C0-4A83-9B84-DE88394DEBAF}" name="类别" dataDxfId="4"/>
    <tableColumn id="2" xr3:uid="{A437B409-5342-45EC-ACC6-09CAA34AF226}" name="类别名" dataDxfId="3">
      <calculatedColumnFormula>IF(表4_786[[#This Row],[购买金币]]="i001","gold","pearl")</calculatedColumnFormula>
    </tableColumn>
    <tableColumn id="8" xr3:uid="{84C7BB00-0945-424B-A575-C309EDD11F34}" name="购买金币" dataDxfId="2"/>
    <tableColumn id="3" xr3:uid="{BDB2C914-6B2A-45DB-B1E8-559849F71123}" name="备注"/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表4_78" displayName="表4_78" ref="A3:I5" totalsRowShown="0">
  <autoFilter ref="A3:I5" xr:uid="{00000000-0009-0000-0100-000007000000}"/>
  <tableColumns count="9">
    <tableColumn id="1" xr3:uid="{00000000-0010-0000-0500-000001000000}" name="基金类型"/>
    <tableColumn id="8" xr3:uid="{00000000-0010-0000-0500-000008000000}" name="玩吧id" dataDxfId="1"/>
    <tableColumn id="9" xr3:uid="{00000000-0010-0000-0500-000009000000}" name="玩吧idiOS" dataDxfId="0"/>
    <tableColumn id="2" xr3:uid="{00000000-0010-0000-0500-000002000000}" name="价格¥"/>
    <tableColumn id="3" xr3:uid="{00000000-0010-0000-0500-000003000000}" name="赠送金币"/>
    <tableColumn id="4" xr3:uid="{00000000-0010-0000-0500-000004000000}" name="最高可用炮倍率"/>
    <tableColumn id="5" xr3:uid="{00000000-0010-0000-0500-000005000000}" name="捕鱼命中系数"/>
    <tableColumn id="6" xr3:uid="{00000000-0010-0000-0500-000006000000}" name="每次开炮衰减"/>
    <tableColumn id="7" xr3:uid="{00000000-0010-0000-0500-000007000000}" name="备注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4" sqref="A34:B34"/>
    </sheetView>
  </sheetViews>
  <sheetFormatPr defaultColWidth="9" defaultRowHeight="13.5"/>
  <cols>
    <col min="1" max="1" width="39.5" style="25" customWidth="1"/>
    <col min="2" max="2" width="85.125" style="25" customWidth="1"/>
    <col min="3" max="16384" width="9" style="25"/>
  </cols>
  <sheetData>
    <row r="1" spans="1:2" ht="16.5">
      <c r="A1" s="26" t="s">
        <v>0</v>
      </c>
      <c r="B1" s="25" t="s">
        <v>1</v>
      </c>
    </row>
    <row r="2" spans="1:2" ht="16.5">
      <c r="A2" s="27" t="s">
        <v>2</v>
      </c>
      <c r="B2" s="25" t="s">
        <v>3</v>
      </c>
    </row>
    <row r="3" spans="1:2" ht="16.5">
      <c r="A3" s="28" t="s">
        <v>4</v>
      </c>
      <c r="B3" s="25" t="s">
        <v>5</v>
      </c>
    </row>
    <row r="4" spans="1:2" ht="16.5">
      <c r="A4" s="29" t="s">
        <v>6</v>
      </c>
      <c r="B4" s="25" t="s">
        <v>7</v>
      </c>
    </row>
    <row r="6" spans="1:2">
      <c r="A6" s="45" t="s">
        <v>8</v>
      </c>
      <c r="B6" s="46"/>
    </row>
    <row r="7" spans="1:2">
      <c r="A7" s="46"/>
      <c r="B7" s="46"/>
    </row>
    <row r="8" spans="1:2">
      <c r="A8" s="46"/>
      <c r="B8" s="46"/>
    </row>
    <row r="9" spans="1:2">
      <c r="A9" s="46"/>
      <c r="B9" s="46"/>
    </row>
    <row r="10" spans="1:2">
      <c r="A10" s="46"/>
      <c r="B10" s="46"/>
    </row>
    <row r="11" spans="1:2">
      <c r="A11" s="46"/>
      <c r="B11" s="46"/>
    </row>
    <row r="12" spans="1:2">
      <c r="A12" s="46"/>
      <c r="B12" s="46"/>
    </row>
    <row r="13" spans="1:2">
      <c r="A13" s="46"/>
      <c r="B13" s="46"/>
    </row>
    <row r="14" spans="1:2">
      <c r="A14" s="46"/>
      <c r="B14" s="46"/>
    </row>
    <row r="15" spans="1:2">
      <c r="A15" s="46"/>
      <c r="B15" s="46"/>
    </row>
    <row r="16" spans="1:2" ht="13.15" customHeight="1">
      <c r="A16" s="46"/>
      <c r="B16" s="46"/>
    </row>
    <row r="17" spans="1:2" ht="4.1500000000000004" customHeight="1">
      <c r="A17" s="46"/>
      <c r="B17" s="46"/>
    </row>
    <row r="18" spans="1:2" hidden="1">
      <c r="A18" s="46"/>
      <c r="B18" s="46"/>
    </row>
    <row r="19" spans="1:2" hidden="1">
      <c r="A19" s="46"/>
      <c r="B19" s="46"/>
    </row>
    <row r="20" spans="1:2" hidden="1">
      <c r="A20" s="46"/>
      <c r="B20" s="46"/>
    </row>
    <row r="21" spans="1:2" ht="22.9" customHeight="1">
      <c r="A21" s="46"/>
      <c r="B21" s="46"/>
    </row>
    <row r="22" spans="1:2" ht="45" customHeight="1">
      <c r="A22" s="46"/>
      <c r="B22" s="46"/>
    </row>
    <row r="23" spans="1:2" ht="51" hidden="1" customHeight="1">
      <c r="A23" s="46"/>
      <c r="B23" s="46"/>
    </row>
    <row r="24" spans="1:2">
      <c r="A24" s="44" t="s">
        <v>9</v>
      </c>
      <c r="B24" s="44"/>
    </row>
    <row r="25" spans="1:2">
      <c r="A25" s="44" t="s">
        <v>10</v>
      </c>
      <c r="B25" s="44"/>
    </row>
    <row r="26" spans="1:2">
      <c r="A26" s="44" t="s">
        <v>11</v>
      </c>
      <c r="B26" s="44"/>
    </row>
    <row r="27" spans="1:2">
      <c r="A27" s="44"/>
      <c r="B27" s="44"/>
    </row>
    <row r="28" spans="1:2">
      <c r="A28" s="44"/>
      <c r="B28" s="44"/>
    </row>
    <row r="29" spans="1:2">
      <c r="A29" s="44"/>
      <c r="B29" s="44"/>
    </row>
    <row r="30" spans="1:2">
      <c r="A30" s="44"/>
      <c r="B30" s="44"/>
    </row>
    <row r="31" spans="1:2">
      <c r="A31" s="44"/>
      <c r="B31" s="44"/>
    </row>
    <row r="32" spans="1:2">
      <c r="A32" s="44"/>
      <c r="B32" s="44"/>
    </row>
    <row r="33" spans="1:2">
      <c r="A33" s="44"/>
      <c r="B33" s="44"/>
    </row>
    <row r="34" spans="1:2">
      <c r="A34" s="44"/>
      <c r="B34" s="44"/>
    </row>
    <row r="35" spans="1:2">
      <c r="A35" s="44"/>
      <c r="B35" s="44"/>
    </row>
    <row r="36" spans="1:2">
      <c r="A36" s="44"/>
      <c r="B36" s="44"/>
    </row>
    <row r="37" spans="1:2">
      <c r="A37" s="44"/>
      <c r="B37" s="44"/>
    </row>
    <row r="38" spans="1:2">
      <c r="A38" s="44"/>
      <c r="B38" s="44"/>
    </row>
    <row r="39" spans="1:2">
      <c r="A39" s="44"/>
      <c r="B39" s="44"/>
    </row>
    <row r="40" spans="1:2">
      <c r="A40" s="44"/>
      <c r="B40" s="44"/>
    </row>
    <row r="41" spans="1:2">
      <c r="A41" s="44"/>
      <c r="B41" s="44"/>
    </row>
    <row r="42" spans="1:2">
      <c r="A42" s="44"/>
      <c r="B42" s="44"/>
    </row>
    <row r="43" spans="1:2">
      <c r="A43" s="44"/>
      <c r="B43" s="44"/>
    </row>
    <row r="44" spans="1:2">
      <c r="A44" s="44"/>
      <c r="B44" s="44"/>
    </row>
    <row r="45" spans="1:2">
      <c r="A45" s="44"/>
      <c r="B45" s="44"/>
    </row>
  </sheetData>
  <mergeCells count="23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9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"/>
  <sheetViews>
    <sheetView workbookViewId="0">
      <selection activeCell="H16" sqref="H16"/>
    </sheetView>
  </sheetViews>
  <sheetFormatPr defaultColWidth="9" defaultRowHeight="13.5"/>
  <cols>
    <col min="1" max="1" width="24.25" style="22" customWidth="1"/>
    <col min="2" max="2" width="26.125" style="22" customWidth="1"/>
    <col min="3" max="3" width="24.25" style="22" customWidth="1"/>
    <col min="4" max="16384" width="9" style="22"/>
  </cols>
  <sheetData>
    <row r="1" spans="1:6" ht="16.5">
      <c r="A1" s="2" t="s">
        <v>15</v>
      </c>
      <c r="B1" s="2" t="s">
        <v>17</v>
      </c>
      <c r="C1" s="2" t="s">
        <v>19</v>
      </c>
      <c r="D1" s="2" t="s">
        <v>21</v>
      </c>
      <c r="E1" s="2" t="s">
        <v>23</v>
      </c>
      <c r="F1" s="2" t="s">
        <v>25</v>
      </c>
    </row>
    <row r="2" spans="1:6" ht="16.5">
      <c r="A2" s="3" t="s">
        <v>97</v>
      </c>
      <c r="B2" s="3" t="s">
        <v>38</v>
      </c>
      <c r="C2" s="3" t="s">
        <v>38</v>
      </c>
      <c r="D2" s="3" t="s">
        <v>38</v>
      </c>
      <c r="E2" s="3" t="s">
        <v>38</v>
      </c>
      <c r="F2" s="3" t="s">
        <v>38</v>
      </c>
    </row>
    <row r="3" spans="1:6">
      <c r="A3" t="s">
        <v>16</v>
      </c>
      <c r="B3" t="s">
        <v>18</v>
      </c>
      <c r="C3" t="s">
        <v>20</v>
      </c>
      <c r="D3" t="s">
        <v>22</v>
      </c>
      <c r="E3" t="s">
        <v>24</v>
      </c>
      <c r="F3" t="s">
        <v>26</v>
      </c>
    </row>
    <row r="4" spans="1:6">
      <c r="A4" s="23">
        <v>0</v>
      </c>
      <c r="B4" s="23">
        <v>1</v>
      </c>
      <c r="C4" s="23">
        <v>2</v>
      </c>
      <c r="D4" s="23">
        <v>3</v>
      </c>
      <c r="E4" s="24">
        <v>4</v>
      </c>
      <c r="F4" s="22">
        <v>5</v>
      </c>
    </row>
  </sheetData>
  <phoneticPr fontId="9" type="noConversion"/>
  <pageMargins left="0.75" right="0.75" top="1" bottom="1" header="0.51180555555555596" footer="0.51180555555555596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31"/>
  <sheetViews>
    <sheetView workbookViewId="0">
      <selection activeCell="N23" sqref="N23"/>
    </sheetView>
  </sheetViews>
  <sheetFormatPr defaultColWidth="9" defaultRowHeight="13.5"/>
  <cols>
    <col min="1" max="1" width="5.5" customWidth="1"/>
    <col min="2" max="2" width="10" bestFit="1" customWidth="1"/>
    <col min="3" max="3" width="9.25" customWidth="1"/>
    <col min="4" max="4" width="10.5" bestFit="1" customWidth="1"/>
    <col min="5" max="5" width="10.5" customWidth="1"/>
    <col min="6" max="6" width="27.875" customWidth="1"/>
    <col min="7" max="7" width="7" customWidth="1"/>
    <col min="8" max="8" width="10.5" bestFit="1" customWidth="1"/>
    <col min="9" max="9" width="17.25" customWidth="1"/>
    <col min="10" max="10" width="17.375" customWidth="1"/>
    <col min="11" max="11" width="10.75" customWidth="1"/>
    <col min="12" max="12" width="7.875" customWidth="1"/>
    <col min="13" max="13" width="11.875" customWidth="1"/>
    <col min="14" max="14" width="8.125" bestFit="1" customWidth="1"/>
    <col min="15" max="15" width="13.25" customWidth="1"/>
    <col min="16" max="16" width="21.875" customWidth="1"/>
  </cols>
  <sheetData>
    <row r="1" spans="1:16" s="16" customFormat="1" ht="17.25">
      <c r="A1" s="17" t="s">
        <v>27</v>
      </c>
      <c r="B1" s="2" t="s">
        <v>88</v>
      </c>
      <c r="C1" s="2" t="s">
        <v>94</v>
      </c>
      <c r="D1" s="17" t="s">
        <v>28</v>
      </c>
      <c r="E1" s="17" t="s">
        <v>29</v>
      </c>
      <c r="F1" s="17" t="s">
        <v>30</v>
      </c>
      <c r="G1" s="17" t="s">
        <v>31</v>
      </c>
      <c r="H1" s="17" t="s">
        <v>12</v>
      </c>
      <c r="I1" s="17" t="s">
        <v>32</v>
      </c>
      <c r="J1" s="17" t="s">
        <v>33</v>
      </c>
      <c r="K1" s="17" t="s">
        <v>34</v>
      </c>
      <c r="L1" s="17" t="s">
        <v>35</v>
      </c>
      <c r="M1" s="17" t="s">
        <v>36</v>
      </c>
      <c r="N1" s="17" t="s">
        <v>37</v>
      </c>
      <c r="O1" s="17" t="s">
        <v>61</v>
      </c>
      <c r="P1" s="17" t="s">
        <v>61</v>
      </c>
    </row>
    <row r="2" spans="1:16" s="16" customFormat="1" ht="16.5">
      <c r="A2" s="18" t="s">
        <v>38</v>
      </c>
      <c r="B2" s="3" t="s">
        <v>38</v>
      </c>
      <c r="C2" s="3" t="s">
        <v>38</v>
      </c>
      <c r="D2" s="18" t="s">
        <v>13</v>
      </c>
      <c r="E2" s="18" t="s">
        <v>38</v>
      </c>
      <c r="F2" s="18" t="s">
        <v>39</v>
      </c>
      <c r="G2" s="18" t="s">
        <v>38</v>
      </c>
      <c r="H2" s="18" t="s">
        <v>38</v>
      </c>
      <c r="I2" s="18" t="s">
        <v>13</v>
      </c>
      <c r="J2" s="18" t="s">
        <v>13</v>
      </c>
      <c r="K2" s="18" t="s">
        <v>38</v>
      </c>
      <c r="L2" s="18" t="s">
        <v>38</v>
      </c>
      <c r="M2" s="18" t="s">
        <v>38</v>
      </c>
      <c r="N2" s="19" t="s">
        <v>98</v>
      </c>
      <c r="O2" s="18" t="s">
        <v>61</v>
      </c>
      <c r="P2" s="18" t="s">
        <v>61</v>
      </c>
    </row>
    <row r="3" spans="1:16">
      <c r="A3" s="16" t="s">
        <v>27</v>
      </c>
      <c r="B3" s="4" t="s">
        <v>91</v>
      </c>
      <c r="C3" s="4" t="s">
        <v>95</v>
      </c>
      <c r="D3" s="16" t="s">
        <v>40</v>
      </c>
      <c r="E3" s="16" t="s">
        <v>41</v>
      </c>
      <c r="F3" s="16" t="s">
        <v>42</v>
      </c>
      <c r="G3" s="16" t="s">
        <v>43</v>
      </c>
      <c r="H3" s="16" t="s">
        <v>44</v>
      </c>
      <c r="I3" s="16" t="s">
        <v>45</v>
      </c>
      <c r="J3" s="16" t="s">
        <v>46</v>
      </c>
      <c r="K3" s="16" t="s">
        <v>47</v>
      </c>
      <c r="L3" s="16" t="s">
        <v>48</v>
      </c>
      <c r="M3" s="16" t="s">
        <v>49</v>
      </c>
      <c r="N3" s="20" t="s">
        <v>50</v>
      </c>
      <c r="O3" s="16" t="s">
        <v>93</v>
      </c>
      <c r="P3" s="16" t="s">
        <v>14</v>
      </c>
    </row>
    <row r="4" spans="1:16" s="15" customFormat="1">
      <c r="A4" s="16">
        <v>10000</v>
      </c>
      <c r="B4" s="21">
        <f>VLOOKUP(表1[[#This Row],[备注2]],[1]!表1[#Data],3,FALSE)</f>
        <v>9071</v>
      </c>
      <c r="C4" s="21">
        <f>VLOOKUP(表1[[#This Row],[备注2]],[1]!表1[#Data],4,FALSE)</f>
        <v>9492</v>
      </c>
      <c r="D4" s="16" t="s">
        <v>52</v>
      </c>
      <c r="E4" s="16">
        <f>VLOOKUP(表1[[#This Row],[备注2]],[1]!表1[#Data],5,FALSE)</f>
        <v>9</v>
      </c>
      <c r="F4" s="21" t="str">
        <f>VLOOKUP(表1[[#This Row],[备注2]],[1]!表1[#Data],19,FALSE)</f>
        <v>[["i001",100000],["i002",100]]</v>
      </c>
      <c r="G4" s="16">
        <v>1</v>
      </c>
      <c r="H4" s="16">
        <v>1</v>
      </c>
      <c r="I4" s="16" t="s">
        <v>100</v>
      </c>
      <c r="J4" s="16" t="s">
        <v>101</v>
      </c>
      <c r="K4" s="16">
        <v>1</v>
      </c>
      <c r="L4" s="16">
        <v>1</v>
      </c>
      <c r="M4" s="16">
        <v>0</v>
      </c>
      <c r="N4" s="21">
        <v>4.5</v>
      </c>
      <c r="O4" s="16" t="s">
        <v>51</v>
      </c>
      <c r="P4" s="21" t="s">
        <v>146</v>
      </c>
    </row>
    <row r="5" spans="1:16" s="15" customFormat="1" ht="14.25" customHeight="1">
      <c r="A5" s="16">
        <v>10001</v>
      </c>
      <c r="B5" s="21">
        <f>VLOOKUP(表1[[#This Row],[备注2]],[1]!表1[#Data],3,FALSE)</f>
        <v>9072</v>
      </c>
      <c r="C5" s="21">
        <f>VLOOKUP(表1[[#This Row],[备注2]],[1]!表1[#Data],4,FALSE)</f>
        <v>9493</v>
      </c>
      <c r="D5" s="16" t="s">
        <v>52</v>
      </c>
      <c r="E5" s="16">
        <f>VLOOKUP(表1[[#This Row],[备注2]],[1]!表1[#Data],5,FALSE)</f>
        <v>18</v>
      </c>
      <c r="F5" s="21" t="str">
        <f>VLOOKUP(表1[[#This Row],[备注2]],[1]!表1[#Data],19,FALSE)</f>
        <v>[["i015",8],["i002",100]]</v>
      </c>
      <c r="G5" s="16">
        <v>1</v>
      </c>
      <c r="H5" s="16">
        <v>1</v>
      </c>
      <c r="I5" s="16" t="s">
        <v>110</v>
      </c>
      <c r="J5" s="16" t="s">
        <v>113</v>
      </c>
      <c r="K5" s="16">
        <v>1</v>
      </c>
      <c r="L5" s="16">
        <v>1</v>
      </c>
      <c r="M5" s="16">
        <v>0</v>
      </c>
      <c r="N5" s="21">
        <v>3.5999999999999996</v>
      </c>
      <c r="O5" s="30" t="s">
        <v>102</v>
      </c>
      <c r="P5" s="21" t="s">
        <v>147</v>
      </c>
    </row>
    <row r="6" spans="1:16" s="15" customFormat="1" ht="14.25" customHeight="1">
      <c r="A6" s="16">
        <v>10002</v>
      </c>
      <c r="B6" s="21">
        <f>VLOOKUP(表1[[#This Row],[备注2]],[1]!表1[#Data],3,FALSE)</f>
        <v>9071</v>
      </c>
      <c r="C6" s="21">
        <f>VLOOKUP(表1[[#This Row],[备注2]],[1]!表1[#Data],4,FALSE)</f>
        <v>9492</v>
      </c>
      <c r="D6" s="16" t="s">
        <v>52</v>
      </c>
      <c r="E6" s="16">
        <f>VLOOKUP(表1[[#This Row],[备注2]],[1]!表1[#Data],5,FALSE)</f>
        <v>9</v>
      </c>
      <c r="F6" s="21" t="str">
        <f>VLOOKUP(表1[[#This Row],[备注2]],[1]!表1[#Data],19,FALSE)</f>
        <v>[["i215",10],["i002",50]]</v>
      </c>
      <c r="G6" s="16">
        <v>1</v>
      </c>
      <c r="H6" s="16">
        <v>1</v>
      </c>
      <c r="I6" s="16" t="s">
        <v>113</v>
      </c>
      <c r="J6" s="16" t="s">
        <v>115</v>
      </c>
      <c r="K6" s="16">
        <v>1</v>
      </c>
      <c r="L6" s="16">
        <v>1</v>
      </c>
      <c r="M6" s="16">
        <v>0</v>
      </c>
      <c r="N6" s="21">
        <v>3</v>
      </c>
      <c r="O6" s="30" t="s">
        <v>105</v>
      </c>
      <c r="P6" s="21" t="s">
        <v>148</v>
      </c>
    </row>
    <row r="7" spans="1:16" s="15" customFormat="1">
      <c r="A7" s="16">
        <v>10003</v>
      </c>
      <c r="B7" s="21">
        <f>VLOOKUP(表1[[#This Row],[备注2]],[1]!表1[#Data],3,FALSE)</f>
        <v>9072</v>
      </c>
      <c r="C7" s="21">
        <f>VLOOKUP(表1[[#This Row],[备注2]],[1]!表1[#Data],4,FALSE)</f>
        <v>9493</v>
      </c>
      <c r="D7" s="16" t="s">
        <v>52</v>
      </c>
      <c r="E7" s="16">
        <f>VLOOKUP(表1[[#This Row],[备注2]],[1]!表1[#Data],5,FALSE)</f>
        <v>18</v>
      </c>
      <c r="F7" s="21" t="str">
        <f>VLOOKUP(表1[[#This Row],[备注2]],[1]!表1[#Data],19,FALSE)</f>
        <v>[["i001",200000],["i002",200]]</v>
      </c>
      <c r="G7" s="16">
        <v>1</v>
      </c>
      <c r="H7" s="16">
        <v>1</v>
      </c>
      <c r="I7" s="16" t="s">
        <v>114</v>
      </c>
      <c r="J7" s="16" t="s">
        <v>116</v>
      </c>
      <c r="K7" s="16">
        <v>1</v>
      </c>
      <c r="L7" s="16">
        <v>1</v>
      </c>
      <c r="M7" s="16">
        <v>0</v>
      </c>
      <c r="N7" s="21">
        <v>4.5</v>
      </c>
      <c r="O7" s="16" t="s">
        <v>53</v>
      </c>
      <c r="P7" s="21" t="s">
        <v>149</v>
      </c>
    </row>
    <row r="8" spans="1:16" s="15" customFormat="1" ht="14.25" customHeight="1">
      <c r="A8" s="16">
        <v>10004</v>
      </c>
      <c r="B8" s="21">
        <f>VLOOKUP(表1[[#This Row],[备注2]],[1]!表1[#Data],3,FALSE)</f>
        <v>9073</v>
      </c>
      <c r="C8" s="21">
        <f>VLOOKUP(表1[[#This Row],[备注2]],[1]!表1[#Data],4,FALSE)</f>
        <v>9494</v>
      </c>
      <c r="D8" s="16" t="s">
        <v>52</v>
      </c>
      <c r="E8" s="16">
        <f>VLOOKUP(表1[[#This Row],[备注2]],[1]!表1[#Data],5,FALSE)</f>
        <v>27</v>
      </c>
      <c r="F8" s="21" t="str">
        <f>VLOOKUP(表1[[#This Row],[备注2]],[1]!表1[#Data],19,FALSE)</f>
        <v>[["i016",10],["i001",50000]]</v>
      </c>
      <c r="G8" s="16">
        <v>1</v>
      </c>
      <c r="H8" s="16">
        <v>1</v>
      </c>
      <c r="I8" s="16" t="s">
        <v>115</v>
      </c>
      <c r="J8" s="16" t="s">
        <v>117</v>
      </c>
      <c r="K8" s="16">
        <v>1</v>
      </c>
      <c r="L8" s="16">
        <v>1</v>
      </c>
      <c r="M8" s="16">
        <v>0</v>
      </c>
      <c r="N8" s="21">
        <v>1.7000000000000002</v>
      </c>
      <c r="O8" s="30" t="s">
        <v>108</v>
      </c>
      <c r="P8" s="21" t="s">
        <v>150</v>
      </c>
    </row>
    <row r="9" spans="1:16">
      <c r="A9" s="16">
        <v>10005</v>
      </c>
      <c r="B9" s="21">
        <f>VLOOKUP(表1[[#This Row],[备注2]],[1]!表1[#Data],3,FALSE)</f>
        <v>9071</v>
      </c>
      <c r="C9" s="21">
        <f>VLOOKUP(表1[[#This Row],[备注2]],[1]!表1[#Data],4,FALSE)</f>
        <v>9492</v>
      </c>
      <c r="D9" s="16" t="s">
        <v>52</v>
      </c>
      <c r="E9" s="16">
        <f>VLOOKUP(表1[[#This Row],[备注2]],[1]!表1[#Data],5,FALSE)</f>
        <v>9</v>
      </c>
      <c r="F9" s="21" t="str">
        <f>VLOOKUP(表1[[#This Row],[备注2]],[1]!表1[#Data],19,FALSE)</f>
        <v>[["i011",50],["i001",100000]]</v>
      </c>
      <c r="G9" s="16">
        <v>1</v>
      </c>
      <c r="H9" s="16">
        <v>1</v>
      </c>
      <c r="I9" s="16" t="s">
        <v>116</v>
      </c>
      <c r="J9" s="16" t="s">
        <v>118</v>
      </c>
      <c r="K9" s="16">
        <v>1</v>
      </c>
      <c r="L9" s="16">
        <v>1</v>
      </c>
      <c r="M9" s="16">
        <v>0</v>
      </c>
      <c r="N9" s="21">
        <v>3.5999999999999996</v>
      </c>
      <c r="O9" s="30" t="s">
        <v>107</v>
      </c>
      <c r="P9" s="21" t="s">
        <v>151</v>
      </c>
    </row>
    <row r="10" spans="1:16" ht="13.5" customHeight="1">
      <c r="A10" s="16">
        <v>10006</v>
      </c>
      <c r="B10" s="21">
        <f>VLOOKUP(表1[[#This Row],[备注2]],[1]!表1[#Data],3,FALSE)</f>
        <v>9071</v>
      </c>
      <c r="C10" s="21">
        <f>VLOOKUP(表1[[#This Row],[备注2]],[1]!表1[#Data],4,FALSE)</f>
        <v>9492</v>
      </c>
      <c r="D10" s="16" t="s">
        <v>52</v>
      </c>
      <c r="E10" s="16">
        <f>VLOOKUP(表1[[#This Row],[备注2]],[1]!表1[#Data],5,FALSE)</f>
        <v>9</v>
      </c>
      <c r="F10" s="21" t="str">
        <f>VLOOKUP(表1[[#This Row],[备注2]],[1]!表1[#Data],19,FALSE)</f>
        <v>[["i006",25],["i001",50000]]</v>
      </c>
      <c r="G10" s="16">
        <v>1</v>
      </c>
      <c r="H10" s="16">
        <v>1</v>
      </c>
      <c r="I10" s="16" t="s">
        <v>117</v>
      </c>
      <c r="J10" s="16" t="s">
        <v>119</v>
      </c>
      <c r="K10" s="16">
        <v>1</v>
      </c>
      <c r="L10" s="16">
        <v>1</v>
      </c>
      <c r="M10" s="16">
        <v>0</v>
      </c>
      <c r="N10" s="21">
        <v>3</v>
      </c>
      <c r="O10" s="30" t="s">
        <v>106</v>
      </c>
      <c r="P10" s="21" t="s">
        <v>152</v>
      </c>
    </row>
    <row r="11" spans="1:16" ht="13.5" customHeight="1">
      <c r="A11" s="16">
        <v>10007</v>
      </c>
      <c r="B11" s="21">
        <f>VLOOKUP(表1[[#This Row],[备注2]],[1]!表1[#Data],3,FALSE)</f>
        <v>9072</v>
      </c>
      <c r="C11" s="21">
        <f>VLOOKUP(表1[[#This Row],[备注2]],[1]!表1[#Data],4,FALSE)</f>
        <v>9493</v>
      </c>
      <c r="D11" s="16" t="s">
        <v>52</v>
      </c>
      <c r="E11" s="30">
        <f>VLOOKUP(表1[[#This Row],[备注2]],[1]!表1[#Data],5,FALSE)</f>
        <v>18</v>
      </c>
      <c r="F11" s="21" t="str">
        <f>VLOOKUP(表1[[#This Row],[备注2]],[1]!表1[#Data],19,FALSE)</f>
        <v>[["i240",180],["i002",150]]</v>
      </c>
      <c r="G11" s="16">
        <v>1</v>
      </c>
      <c r="H11" s="16">
        <v>1</v>
      </c>
      <c r="I11" s="16" t="s">
        <v>112</v>
      </c>
      <c r="J11" s="16" t="s">
        <v>114</v>
      </c>
      <c r="K11" s="16">
        <v>1</v>
      </c>
      <c r="L11" s="16">
        <v>1</v>
      </c>
      <c r="M11" s="16">
        <v>0</v>
      </c>
      <c r="N11" s="21">
        <v>3.5</v>
      </c>
      <c r="O11" s="30" t="s">
        <v>103</v>
      </c>
      <c r="P11" s="21" t="s">
        <v>153</v>
      </c>
    </row>
    <row r="12" spans="1:16" ht="13.5" customHeight="1">
      <c r="A12" s="16">
        <v>10008</v>
      </c>
      <c r="B12" s="21">
        <f>VLOOKUP(表1[[#This Row],[备注2]],[1]!表1[#Data],3,FALSE)</f>
        <v>9073</v>
      </c>
      <c r="C12" s="21">
        <f>VLOOKUP(表1[[#This Row],[备注2]],[1]!表1[#Data],4,FALSE)</f>
        <v>9494</v>
      </c>
      <c r="D12" s="16" t="s">
        <v>52</v>
      </c>
      <c r="E12" s="30">
        <f>VLOOKUP(表1[[#This Row],[备注2]],[1]!表1[#Data],5,FALSE)</f>
        <v>27</v>
      </c>
      <c r="F12" s="21" t="str">
        <f>VLOOKUP(表1[[#This Row],[备注2]],[1]!表1[#Data],19,FALSE)</f>
        <v>[["i001",300000],["i002",300]]</v>
      </c>
      <c r="G12" s="16">
        <v>1</v>
      </c>
      <c r="H12" s="16">
        <v>1</v>
      </c>
      <c r="I12" s="16" t="s">
        <v>101</v>
      </c>
      <c r="J12" s="16" t="s">
        <v>110</v>
      </c>
      <c r="K12" s="16">
        <v>1</v>
      </c>
      <c r="L12" s="16">
        <v>1</v>
      </c>
      <c r="M12" s="16">
        <v>0</v>
      </c>
      <c r="N12" s="21">
        <v>4.5</v>
      </c>
      <c r="O12" s="16" t="s">
        <v>54</v>
      </c>
      <c r="P12" s="21" t="s">
        <v>154</v>
      </c>
    </row>
    <row r="13" spans="1:16">
      <c r="A13" s="16">
        <v>10009</v>
      </c>
      <c r="B13" s="21">
        <f>VLOOKUP(表1[[#This Row],[备注2]],[1]!表1[#Data],3,FALSE)</f>
        <v>9071</v>
      </c>
      <c r="C13" s="21">
        <f>VLOOKUP(表1[[#This Row],[备注2]],[1]!表1[#Data],4,FALSE)</f>
        <v>9492</v>
      </c>
      <c r="D13" s="16" t="s">
        <v>52</v>
      </c>
      <c r="E13" s="30">
        <f>VLOOKUP(表1[[#This Row],[备注2]],[1]!表1[#Data],5,FALSE)</f>
        <v>9</v>
      </c>
      <c r="F13" s="21" t="str">
        <f>VLOOKUP(表1[[#This Row],[备注2]],[1]!表1[#Data],19,FALSE)</f>
        <v>[["i400",20],["i002",50]]</v>
      </c>
      <c r="G13" s="16">
        <v>1</v>
      </c>
      <c r="H13" s="16">
        <v>1</v>
      </c>
      <c r="I13" s="16" t="s">
        <v>118</v>
      </c>
      <c r="J13" s="16" t="s">
        <v>120</v>
      </c>
      <c r="K13" s="16">
        <v>1</v>
      </c>
      <c r="L13" s="16">
        <v>1</v>
      </c>
      <c r="M13" s="16">
        <v>0</v>
      </c>
      <c r="N13" s="21">
        <v>3.5999999999999996</v>
      </c>
      <c r="O13" s="30" t="s">
        <v>104</v>
      </c>
      <c r="P13" s="21" t="s">
        <v>155</v>
      </c>
    </row>
    <row r="14" spans="1:16">
      <c r="A14" s="16">
        <v>10010</v>
      </c>
      <c r="B14" s="21">
        <f>VLOOKUP(表1[[#This Row],[备注2]],[1]!表1[#Data],3,FALSE)</f>
        <v>9074</v>
      </c>
      <c r="C14" s="21">
        <f>VLOOKUP(表1[[#This Row],[备注2]],[1]!表1[#Data],4,FALSE)</f>
        <v>9495</v>
      </c>
      <c r="D14" s="16" t="s">
        <v>52</v>
      </c>
      <c r="E14" s="30">
        <f>VLOOKUP(表1[[#This Row],[备注2]],[1]!表1[#Data],5,FALSE)</f>
        <v>36</v>
      </c>
      <c r="F14" s="21" t="str">
        <f>VLOOKUP(表1[[#This Row],[备注2]],[1]!表1[#Data],19,FALSE)</f>
        <v>[["i001",400000],["i002",400]]</v>
      </c>
      <c r="G14" s="16">
        <v>1</v>
      </c>
      <c r="H14" s="16">
        <v>1</v>
      </c>
      <c r="I14" s="16" t="s">
        <v>111</v>
      </c>
      <c r="J14" s="16" t="s">
        <v>112</v>
      </c>
      <c r="K14" s="16">
        <v>1</v>
      </c>
      <c r="L14" s="16">
        <v>1</v>
      </c>
      <c r="M14" s="16">
        <v>0</v>
      </c>
      <c r="N14" s="21">
        <v>4.5</v>
      </c>
      <c r="O14" s="16" t="s">
        <v>55</v>
      </c>
      <c r="P14" s="21" t="s">
        <v>156</v>
      </c>
    </row>
    <row r="15" spans="1:16">
      <c r="A15" s="16">
        <v>10011</v>
      </c>
      <c r="B15" s="21">
        <f>VLOOKUP(表1[[#This Row],[备注2]],[1]!表1[#Data],3,FALSE)</f>
        <v>9075</v>
      </c>
      <c r="C15" s="21">
        <f>VLOOKUP(表1[[#This Row],[备注2]],[1]!表1[#Data],4,FALSE)</f>
        <v>9496</v>
      </c>
      <c r="D15" s="16" t="s">
        <v>52</v>
      </c>
      <c r="E15" s="30">
        <f>VLOOKUP(表1[[#This Row],[备注2]],[1]!表1[#Data],5,FALSE)</f>
        <v>45</v>
      </c>
      <c r="F15" s="21" t="str">
        <f>VLOOKUP(表1[[#This Row],[备注2]],[1]!表1[#Data],19,FALSE)</f>
        <v>[["i017",8],["i002",100]]</v>
      </c>
      <c r="G15" s="16">
        <v>1</v>
      </c>
      <c r="H15" s="16">
        <v>1</v>
      </c>
      <c r="I15" s="16" t="s">
        <v>119</v>
      </c>
      <c r="J15" s="16" t="s">
        <v>121</v>
      </c>
      <c r="K15" s="16">
        <v>1</v>
      </c>
      <c r="L15" s="16">
        <v>1</v>
      </c>
      <c r="M15" s="16">
        <v>0</v>
      </c>
      <c r="N15" s="21">
        <v>1.1000000000000001</v>
      </c>
      <c r="O15" s="30" t="s">
        <v>109</v>
      </c>
      <c r="P15" s="21" t="s">
        <v>157</v>
      </c>
    </row>
    <row r="16" spans="1:16">
      <c r="A16" s="16">
        <v>10012</v>
      </c>
      <c r="B16" s="21">
        <f>VLOOKUP(表1[[#This Row],[备注2]],[1]!表1[#Data],3,FALSE)</f>
        <v>9071</v>
      </c>
      <c r="C16" s="21">
        <f>VLOOKUP(表1[[#This Row],[备注2]],[1]!表1[#Data],4,FALSE)</f>
        <v>9492</v>
      </c>
      <c r="D16" s="16" t="s">
        <v>52</v>
      </c>
      <c r="E16" s="30">
        <f>VLOOKUP(表1[[#This Row],[备注2]],[1]!表1[#Data],5,FALSE)</f>
        <v>9</v>
      </c>
      <c r="F16" s="21" t="str">
        <f>VLOOKUP(表1[[#This Row],[备注2]],[1]!表1[#Data],19,FALSE)</f>
        <v>[["i215",10],["i002",50]]</v>
      </c>
      <c r="G16" s="16">
        <v>1</v>
      </c>
      <c r="H16" s="16">
        <v>1</v>
      </c>
      <c r="I16" s="16" t="s">
        <v>120</v>
      </c>
      <c r="J16" s="16" t="s">
        <v>122</v>
      </c>
      <c r="K16" s="16">
        <v>1</v>
      </c>
      <c r="L16" s="16">
        <v>1</v>
      </c>
      <c r="M16" s="16">
        <v>0</v>
      </c>
      <c r="N16" s="21">
        <v>3</v>
      </c>
      <c r="O16" s="30" t="s">
        <v>105</v>
      </c>
      <c r="P16" s="21" t="s">
        <v>148</v>
      </c>
    </row>
    <row r="17" spans="1:16">
      <c r="A17" s="16">
        <v>10013</v>
      </c>
      <c r="B17" s="21">
        <f>VLOOKUP(表1[[#This Row],[备注2]],[1]!表1[#Data],3,FALSE)</f>
        <v>9075</v>
      </c>
      <c r="C17" s="21">
        <f>VLOOKUP(表1[[#This Row],[备注2]],[1]!表1[#Data],4,FALSE)</f>
        <v>9496</v>
      </c>
      <c r="D17" s="16" t="s">
        <v>52</v>
      </c>
      <c r="E17">
        <f>VLOOKUP(表1[[#This Row],[备注2]],[1]!表1[#Data],5,FALSE)</f>
        <v>45</v>
      </c>
      <c r="F17" s="21" t="str">
        <f>VLOOKUP(表1[[#This Row],[备注2]],[1]!表1[#Data],19,FALSE)</f>
        <v>[["i001",500000],["i002",500]]</v>
      </c>
      <c r="G17" s="16">
        <v>1</v>
      </c>
      <c r="H17" s="16">
        <v>1</v>
      </c>
      <c r="I17" s="16" t="s">
        <v>121</v>
      </c>
      <c r="J17" s="16" t="s">
        <v>123</v>
      </c>
      <c r="K17" s="16">
        <v>1</v>
      </c>
      <c r="L17" s="16">
        <v>1</v>
      </c>
      <c r="M17" s="16">
        <v>0</v>
      </c>
      <c r="N17" s="21">
        <v>4.5</v>
      </c>
      <c r="O17" s="16" t="s">
        <v>56</v>
      </c>
      <c r="P17" s="21" t="s">
        <v>158</v>
      </c>
    </row>
    <row r="18" spans="1:16">
      <c r="A18" s="16">
        <v>10014</v>
      </c>
      <c r="B18" s="21">
        <f>VLOOKUP(表1[[#This Row],[备注2]],[1]!表1[#Data],3,FALSE)</f>
        <v>9071</v>
      </c>
      <c r="C18" s="21">
        <f>VLOOKUP(表1[[#This Row],[备注2]],[1]!表1[#Data],4,FALSE)</f>
        <v>9492</v>
      </c>
      <c r="D18" s="16" t="s">
        <v>52</v>
      </c>
      <c r="E18">
        <f>VLOOKUP(表1[[#This Row],[备注2]],[1]!表1[#Data],5,FALSE)</f>
        <v>9</v>
      </c>
      <c r="F18" s="21" t="str">
        <f>VLOOKUP(表1[[#This Row],[备注2]],[1]!表1[#Data],19,FALSE)</f>
        <v>[["i001",100000],["i002",100]]</v>
      </c>
      <c r="G18" s="16">
        <v>1</v>
      </c>
      <c r="H18" s="16">
        <v>1</v>
      </c>
      <c r="I18" s="16" t="s">
        <v>122</v>
      </c>
      <c r="J18" s="16" t="s">
        <v>124</v>
      </c>
      <c r="K18" s="16">
        <v>1</v>
      </c>
      <c r="L18" s="16">
        <v>1</v>
      </c>
      <c r="M18" s="16">
        <v>0</v>
      </c>
      <c r="N18" s="21">
        <v>4.5</v>
      </c>
      <c r="O18" s="16" t="s">
        <v>51</v>
      </c>
      <c r="P18" s="21" t="s">
        <v>146</v>
      </c>
    </row>
    <row r="19" spans="1:16">
      <c r="A19" s="16">
        <v>10015</v>
      </c>
      <c r="B19" s="21">
        <f>VLOOKUP(表1[[#This Row],[备注2]],[1]!表1[#Data],3,FALSE)</f>
        <v>9072</v>
      </c>
      <c r="C19" s="21">
        <f>VLOOKUP(表1[[#This Row],[备注2]],[1]!表1[#Data],4,FALSE)</f>
        <v>9493</v>
      </c>
      <c r="D19" s="16" t="s">
        <v>52</v>
      </c>
      <c r="E19">
        <f>VLOOKUP(表1[[#This Row],[备注2]],[1]!表1[#Data],5,FALSE)</f>
        <v>18</v>
      </c>
      <c r="F19" s="21" t="str">
        <f>VLOOKUP(表1[[#This Row],[备注2]],[1]!表1[#Data],19,FALSE)</f>
        <v>[["i015",8],["i002",100]]</v>
      </c>
      <c r="G19" s="16">
        <v>1</v>
      </c>
      <c r="H19" s="16">
        <v>1</v>
      </c>
      <c r="I19" s="16" t="s">
        <v>123</v>
      </c>
      <c r="J19" s="16" t="s">
        <v>125</v>
      </c>
      <c r="K19" s="16">
        <v>1</v>
      </c>
      <c r="L19" s="16">
        <v>1</v>
      </c>
      <c r="M19" s="16">
        <v>0</v>
      </c>
      <c r="N19" s="21">
        <v>3.5999999999999996</v>
      </c>
      <c r="O19" s="30" t="s">
        <v>102</v>
      </c>
      <c r="P19" s="21" t="s">
        <v>147</v>
      </c>
    </row>
    <row r="20" spans="1:16">
      <c r="A20" s="16">
        <v>10016</v>
      </c>
      <c r="B20" s="21">
        <f>VLOOKUP(表1[[#This Row],[备注2]],[1]!表1[#Data],3,FALSE)</f>
        <v>9071</v>
      </c>
      <c r="C20" s="21">
        <f>VLOOKUP(表1[[#This Row],[备注2]],[1]!表1[#Data],4,FALSE)</f>
        <v>9492</v>
      </c>
      <c r="D20" s="16" t="s">
        <v>52</v>
      </c>
      <c r="E20">
        <f>VLOOKUP(表1[[#This Row],[备注2]],[1]!表1[#Data],5,FALSE)</f>
        <v>9</v>
      </c>
      <c r="F20" s="21" t="str">
        <f>VLOOKUP(表1[[#This Row],[备注2]],[1]!表1[#Data],19,FALSE)</f>
        <v>[["i215",10],["i002",50]]</v>
      </c>
      <c r="G20" s="16">
        <v>1</v>
      </c>
      <c r="H20" s="16">
        <v>1</v>
      </c>
      <c r="I20" s="16" t="s">
        <v>124</v>
      </c>
      <c r="J20" s="16" t="s">
        <v>126</v>
      </c>
      <c r="K20" s="16">
        <v>1</v>
      </c>
      <c r="L20" s="16">
        <v>1</v>
      </c>
      <c r="M20" s="16">
        <v>0</v>
      </c>
      <c r="N20" s="21">
        <v>3</v>
      </c>
      <c r="O20" s="30" t="s">
        <v>105</v>
      </c>
      <c r="P20" s="21" t="s">
        <v>148</v>
      </c>
    </row>
    <row r="21" spans="1:16">
      <c r="A21" s="16">
        <v>10017</v>
      </c>
      <c r="B21" s="21">
        <f>VLOOKUP(表1[[#This Row],[备注2]],[1]!表1[#Data],3,FALSE)</f>
        <v>9072</v>
      </c>
      <c r="C21" s="21">
        <f>VLOOKUP(表1[[#This Row],[备注2]],[1]!表1[#Data],4,FALSE)</f>
        <v>9493</v>
      </c>
      <c r="D21" s="16" t="s">
        <v>52</v>
      </c>
      <c r="E21">
        <f>VLOOKUP(表1[[#This Row],[备注2]],[1]!表1[#Data],5,FALSE)</f>
        <v>18</v>
      </c>
      <c r="F21" s="21" t="str">
        <f>VLOOKUP(表1[[#This Row],[备注2]],[1]!表1[#Data],19,FALSE)</f>
        <v>[["i001",200000],["i002",200]]</v>
      </c>
      <c r="G21" s="16">
        <v>1</v>
      </c>
      <c r="H21" s="16">
        <v>1</v>
      </c>
      <c r="I21" s="16" t="s">
        <v>125</v>
      </c>
      <c r="J21" s="16" t="s">
        <v>127</v>
      </c>
      <c r="K21" s="16">
        <v>1</v>
      </c>
      <c r="L21" s="16">
        <v>1</v>
      </c>
      <c r="M21" s="16">
        <v>0</v>
      </c>
      <c r="N21" s="21">
        <v>4.5</v>
      </c>
      <c r="O21" s="16" t="s">
        <v>53</v>
      </c>
      <c r="P21" s="21" t="s">
        <v>149</v>
      </c>
    </row>
    <row r="22" spans="1:16">
      <c r="A22" s="16">
        <v>10018</v>
      </c>
      <c r="B22" s="21">
        <f>VLOOKUP(表1[[#This Row],[备注2]],[1]!表1[#Data],3,FALSE)</f>
        <v>9073</v>
      </c>
      <c r="C22" s="21">
        <f>VLOOKUP(表1[[#This Row],[备注2]],[1]!表1[#Data],4,FALSE)</f>
        <v>9494</v>
      </c>
      <c r="D22" s="16" t="s">
        <v>52</v>
      </c>
      <c r="E22">
        <f>VLOOKUP(表1[[#This Row],[备注2]],[1]!表1[#Data],5,FALSE)</f>
        <v>27</v>
      </c>
      <c r="F22" s="21" t="str">
        <f>VLOOKUP(表1[[#This Row],[备注2]],[1]!表1[#Data],19,FALSE)</f>
        <v>[["i016",10],["i001",50000]]</v>
      </c>
      <c r="G22" s="16">
        <v>1</v>
      </c>
      <c r="H22" s="16">
        <v>1</v>
      </c>
      <c r="I22" s="16" t="s">
        <v>126</v>
      </c>
      <c r="J22" s="16" t="s">
        <v>128</v>
      </c>
      <c r="K22" s="16">
        <v>1</v>
      </c>
      <c r="L22" s="16">
        <v>1</v>
      </c>
      <c r="M22" s="16">
        <v>0</v>
      </c>
      <c r="N22" s="21">
        <v>1.7000000000000002</v>
      </c>
      <c r="O22" s="30" t="s">
        <v>108</v>
      </c>
      <c r="P22" s="21" t="s">
        <v>150</v>
      </c>
    </row>
    <row r="23" spans="1:16">
      <c r="A23" s="16">
        <v>10019</v>
      </c>
      <c r="B23" s="21">
        <f>VLOOKUP(表1[[#This Row],[备注2]],[1]!表1[#Data],3,FALSE)</f>
        <v>9071</v>
      </c>
      <c r="C23" s="21">
        <f>VLOOKUP(表1[[#This Row],[备注2]],[1]!表1[#Data],4,FALSE)</f>
        <v>9492</v>
      </c>
      <c r="D23" s="16" t="s">
        <v>52</v>
      </c>
      <c r="E23">
        <f>VLOOKUP(表1[[#This Row],[备注2]],[1]!表1[#Data],5,FALSE)</f>
        <v>9</v>
      </c>
      <c r="F23" s="21" t="str">
        <f>VLOOKUP(表1[[#This Row],[备注2]],[1]!表1[#Data],19,FALSE)</f>
        <v>[["i011",50],["i001",100000]]</v>
      </c>
      <c r="G23" s="16">
        <v>1</v>
      </c>
      <c r="H23" s="16">
        <v>1</v>
      </c>
      <c r="I23" s="16" t="s">
        <v>127</v>
      </c>
      <c r="J23" s="16" t="s">
        <v>129</v>
      </c>
      <c r="K23" s="16">
        <v>1</v>
      </c>
      <c r="L23" s="16">
        <v>1</v>
      </c>
      <c r="M23" s="16">
        <v>0</v>
      </c>
      <c r="N23" s="21">
        <v>3.5999999999999996</v>
      </c>
      <c r="O23" s="30" t="s">
        <v>107</v>
      </c>
      <c r="P23" s="21" t="s">
        <v>151</v>
      </c>
    </row>
    <row r="24" spans="1:16">
      <c r="A24" s="16">
        <v>10020</v>
      </c>
      <c r="B24" s="21">
        <f>VLOOKUP(表1[[#This Row],[备注2]],[1]!表1[#Data],3,FALSE)</f>
        <v>9071</v>
      </c>
      <c r="C24" s="21">
        <f>VLOOKUP(表1[[#This Row],[备注2]],[1]!表1[#Data],4,FALSE)</f>
        <v>9492</v>
      </c>
      <c r="D24" s="16" t="s">
        <v>52</v>
      </c>
      <c r="E24">
        <f>VLOOKUP(表1[[#This Row],[备注2]],[1]!表1[#Data],5,FALSE)</f>
        <v>9</v>
      </c>
      <c r="F24" s="21" t="str">
        <f>VLOOKUP(表1[[#This Row],[备注2]],[1]!表1[#Data],19,FALSE)</f>
        <v>[["i006",25],["i001",50000]]</v>
      </c>
      <c r="G24" s="16">
        <v>1</v>
      </c>
      <c r="H24" s="16">
        <v>1</v>
      </c>
      <c r="I24" s="16" t="s">
        <v>139</v>
      </c>
      <c r="J24" s="16" t="s">
        <v>130</v>
      </c>
      <c r="K24" s="16">
        <v>1</v>
      </c>
      <c r="L24" s="16">
        <v>1</v>
      </c>
      <c r="M24" s="16">
        <v>0</v>
      </c>
      <c r="N24" s="21">
        <v>3</v>
      </c>
      <c r="O24" s="30" t="s">
        <v>106</v>
      </c>
      <c r="P24" s="21" t="s">
        <v>152</v>
      </c>
    </row>
    <row r="25" spans="1:16">
      <c r="A25" s="16">
        <v>10021</v>
      </c>
      <c r="B25" s="21">
        <f>VLOOKUP(表1[[#This Row],[备注2]],[1]!表1[#Data],3,FALSE)</f>
        <v>9072</v>
      </c>
      <c r="C25" s="21">
        <f>VLOOKUP(表1[[#This Row],[备注2]],[1]!表1[#Data],4,FALSE)</f>
        <v>9493</v>
      </c>
      <c r="D25" s="16" t="s">
        <v>52</v>
      </c>
      <c r="E25">
        <f>VLOOKUP(表1[[#This Row],[备注2]],[1]!表1[#Data],5,FALSE)</f>
        <v>18</v>
      </c>
      <c r="F25" s="21" t="str">
        <f>VLOOKUP(表1[[#This Row],[备注2]],[1]!表1[#Data],19,FALSE)</f>
        <v>[["i240",180],["i002",150]]</v>
      </c>
      <c r="G25" s="16">
        <v>1</v>
      </c>
      <c r="H25" s="16">
        <v>1</v>
      </c>
      <c r="I25" s="16" t="s">
        <v>140</v>
      </c>
      <c r="J25" s="16" t="s">
        <v>131</v>
      </c>
      <c r="K25" s="16">
        <v>1</v>
      </c>
      <c r="L25" s="16">
        <v>1</v>
      </c>
      <c r="M25" s="16">
        <v>0</v>
      </c>
      <c r="N25" s="21">
        <v>3.5</v>
      </c>
      <c r="O25" s="30" t="s">
        <v>103</v>
      </c>
      <c r="P25" s="21" t="s">
        <v>153</v>
      </c>
    </row>
    <row r="26" spans="1:16">
      <c r="A26" s="16">
        <v>10022</v>
      </c>
      <c r="B26" s="21">
        <f>VLOOKUP(表1[[#This Row],[备注2]],[1]!表1[#Data],3,FALSE)</f>
        <v>9073</v>
      </c>
      <c r="C26" s="21">
        <f>VLOOKUP(表1[[#This Row],[备注2]],[1]!表1[#Data],4,FALSE)</f>
        <v>9494</v>
      </c>
      <c r="D26" s="16" t="s">
        <v>52</v>
      </c>
      <c r="E26">
        <f>VLOOKUP(表1[[#This Row],[备注2]],[1]!表1[#Data],5,FALSE)</f>
        <v>27</v>
      </c>
      <c r="F26" s="21" t="str">
        <f>VLOOKUP(表1[[#This Row],[备注2]],[1]!表1[#Data],19,FALSE)</f>
        <v>[["i001",300000],["i002",300]]</v>
      </c>
      <c r="G26" s="16">
        <v>1</v>
      </c>
      <c r="H26" s="16">
        <v>1</v>
      </c>
      <c r="I26" s="16" t="s">
        <v>141</v>
      </c>
      <c r="J26" s="16" t="s">
        <v>133</v>
      </c>
      <c r="K26" s="16">
        <v>1</v>
      </c>
      <c r="L26" s="16">
        <v>1</v>
      </c>
      <c r="M26" s="16">
        <v>0</v>
      </c>
      <c r="N26" s="21">
        <v>4.5</v>
      </c>
      <c r="O26" s="16" t="s">
        <v>54</v>
      </c>
      <c r="P26" s="21" t="s">
        <v>154</v>
      </c>
    </row>
    <row r="27" spans="1:16">
      <c r="A27" s="16">
        <v>10023</v>
      </c>
      <c r="B27" s="21">
        <f>VLOOKUP(表1[[#This Row],[备注2]],[1]!表1[#Data],3,FALSE)</f>
        <v>9071</v>
      </c>
      <c r="C27" s="21">
        <f>VLOOKUP(表1[[#This Row],[备注2]],[1]!表1[#Data],4,FALSE)</f>
        <v>9492</v>
      </c>
      <c r="D27" s="16" t="s">
        <v>52</v>
      </c>
      <c r="E27">
        <f>VLOOKUP(表1[[#This Row],[备注2]],[1]!表1[#Data],5,FALSE)</f>
        <v>9</v>
      </c>
      <c r="F27" s="21" t="str">
        <f>VLOOKUP(表1[[#This Row],[备注2]],[1]!表1[#Data],19,FALSE)</f>
        <v>[["i400",20],["i002",50]]</v>
      </c>
      <c r="G27" s="16">
        <v>1</v>
      </c>
      <c r="H27" s="16">
        <v>1</v>
      </c>
      <c r="I27" s="16" t="s">
        <v>132</v>
      </c>
      <c r="J27" s="16" t="s">
        <v>135</v>
      </c>
      <c r="K27" s="16">
        <v>1</v>
      </c>
      <c r="L27" s="16">
        <v>1</v>
      </c>
      <c r="M27" s="16">
        <v>0</v>
      </c>
      <c r="N27" s="21">
        <v>3.5999999999999996</v>
      </c>
      <c r="O27" s="30" t="s">
        <v>104</v>
      </c>
      <c r="P27" s="21" t="s">
        <v>155</v>
      </c>
    </row>
    <row r="28" spans="1:16">
      <c r="A28" s="16">
        <v>10024</v>
      </c>
      <c r="B28" s="21">
        <f>VLOOKUP(表1[[#This Row],[备注2]],[1]!表1[#Data],3,FALSE)</f>
        <v>9074</v>
      </c>
      <c r="C28" s="21">
        <f>VLOOKUP(表1[[#This Row],[备注2]],[1]!表1[#Data],4,FALSE)</f>
        <v>9495</v>
      </c>
      <c r="D28" s="16" t="s">
        <v>52</v>
      </c>
      <c r="E28">
        <f>VLOOKUP(表1[[#This Row],[备注2]],[1]!表1[#Data],5,FALSE)</f>
        <v>36</v>
      </c>
      <c r="F28" s="21" t="str">
        <f>VLOOKUP(表1[[#This Row],[备注2]],[1]!表1[#Data],19,FALSE)</f>
        <v>[["i001",400000],["i002",400]]</v>
      </c>
      <c r="G28" s="16">
        <v>1</v>
      </c>
      <c r="H28" s="16">
        <v>1</v>
      </c>
      <c r="I28" s="16" t="s">
        <v>134</v>
      </c>
      <c r="J28" s="16" t="s">
        <v>136</v>
      </c>
      <c r="K28" s="16">
        <v>1</v>
      </c>
      <c r="L28" s="16">
        <v>1</v>
      </c>
      <c r="M28" s="16">
        <v>0</v>
      </c>
      <c r="N28" s="21">
        <v>4.5</v>
      </c>
      <c r="O28" s="16" t="s">
        <v>55</v>
      </c>
      <c r="P28" s="21" t="s">
        <v>156</v>
      </c>
    </row>
    <row r="29" spans="1:16">
      <c r="A29" s="16">
        <v>10025</v>
      </c>
      <c r="B29" s="21">
        <f>VLOOKUP(表1[[#This Row],[备注2]],[1]!表1[#Data],3,FALSE)</f>
        <v>9075</v>
      </c>
      <c r="C29" s="21">
        <f>VLOOKUP(表1[[#This Row],[备注2]],[1]!表1[#Data],4,FALSE)</f>
        <v>9496</v>
      </c>
      <c r="D29" s="16" t="s">
        <v>52</v>
      </c>
      <c r="E29">
        <f>VLOOKUP(表1[[#This Row],[备注2]],[1]!表1[#Data],5,FALSE)</f>
        <v>45</v>
      </c>
      <c r="F29" s="21" t="str">
        <f>VLOOKUP(表1[[#This Row],[备注2]],[1]!表1[#Data],19,FALSE)</f>
        <v>[["i017",8],["i002",100]]</v>
      </c>
      <c r="G29" s="16">
        <v>1</v>
      </c>
      <c r="H29" s="16">
        <v>1</v>
      </c>
      <c r="I29" s="16" t="s">
        <v>142</v>
      </c>
      <c r="J29" s="16" t="s">
        <v>137</v>
      </c>
      <c r="K29" s="16">
        <v>1</v>
      </c>
      <c r="L29" s="16">
        <v>1</v>
      </c>
      <c r="M29" s="16">
        <v>0</v>
      </c>
      <c r="N29" s="21">
        <v>1.1000000000000001</v>
      </c>
      <c r="O29" s="30" t="s">
        <v>109</v>
      </c>
      <c r="P29" s="21" t="s">
        <v>157</v>
      </c>
    </row>
    <row r="30" spans="1:16">
      <c r="A30" s="16">
        <v>10026</v>
      </c>
      <c r="B30" s="21">
        <f>VLOOKUP(表1[[#This Row],[备注2]],[1]!表1[#Data],3,FALSE)</f>
        <v>9071</v>
      </c>
      <c r="C30" s="21">
        <f>VLOOKUP(表1[[#This Row],[备注2]],[1]!表1[#Data],4,FALSE)</f>
        <v>9492</v>
      </c>
      <c r="D30" s="16" t="s">
        <v>52</v>
      </c>
      <c r="E30">
        <f>VLOOKUP(表1[[#This Row],[备注2]],[1]!表1[#Data],5,FALSE)</f>
        <v>9</v>
      </c>
      <c r="F30" s="21" t="str">
        <f>VLOOKUP(表1[[#This Row],[备注2]],[1]!表1[#Data],19,FALSE)</f>
        <v>[["i215",10],["i002",50]]</v>
      </c>
      <c r="G30" s="16">
        <v>1</v>
      </c>
      <c r="H30" s="16">
        <v>1</v>
      </c>
      <c r="I30" s="16" t="s">
        <v>143</v>
      </c>
      <c r="J30" s="16" t="s">
        <v>138</v>
      </c>
      <c r="K30" s="16">
        <v>1</v>
      </c>
      <c r="L30" s="16">
        <v>1</v>
      </c>
      <c r="M30" s="16">
        <v>0</v>
      </c>
      <c r="N30" s="21">
        <v>3</v>
      </c>
      <c r="O30" s="30" t="s">
        <v>105</v>
      </c>
      <c r="P30" s="21" t="s">
        <v>148</v>
      </c>
    </row>
    <row r="31" spans="1:16">
      <c r="A31" s="16">
        <v>10027</v>
      </c>
      <c r="B31" s="21">
        <f>VLOOKUP(表1[[#This Row],[备注2]],[1]!表1[#Data],3,FALSE)</f>
        <v>9071</v>
      </c>
      <c r="C31" s="21">
        <f>VLOOKUP(表1[[#This Row],[备注2]],[1]!表1[#Data],4,FALSE)</f>
        <v>9492</v>
      </c>
      <c r="D31" s="16" t="s">
        <v>52</v>
      </c>
      <c r="E31">
        <f>VLOOKUP(表1[[#This Row],[备注2]],[1]!表1[#Data],5,FALSE)</f>
        <v>9</v>
      </c>
      <c r="F31" s="21" t="str">
        <f>VLOOKUP(表1[[#This Row],[备注2]],[1]!表1[#Data],19,FALSE)</f>
        <v>[["i006",25],["i001",50000]]</v>
      </c>
      <c r="G31" s="16">
        <v>1</v>
      </c>
      <c r="H31" s="16">
        <v>1</v>
      </c>
      <c r="I31" s="16" t="s">
        <v>144</v>
      </c>
      <c r="J31" s="16" t="s">
        <v>145</v>
      </c>
      <c r="K31" s="16">
        <v>1</v>
      </c>
      <c r="L31" s="16">
        <v>1</v>
      </c>
      <c r="M31" s="16">
        <v>0</v>
      </c>
      <c r="N31" s="21">
        <v>3</v>
      </c>
      <c r="O31" s="30" t="s">
        <v>106</v>
      </c>
      <c r="P31" s="21" t="s">
        <v>152</v>
      </c>
    </row>
  </sheetData>
  <phoneticPr fontId="9" type="noConversion"/>
  <pageMargins left="0.69930555555555596" right="0.69930555555555596" top="0.75" bottom="0.75" header="0.3" footer="0.3"/>
  <pageSetup paperSize="9" orientation="portrait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33"/>
  <sheetViews>
    <sheetView workbookViewId="0">
      <selection activeCell="C4" sqref="C4"/>
    </sheetView>
  </sheetViews>
  <sheetFormatPr defaultColWidth="9" defaultRowHeight="13.5"/>
  <cols>
    <col min="1" max="1" width="20.625" customWidth="1"/>
    <col min="2" max="2" width="10.25" customWidth="1"/>
    <col min="3" max="4" width="14" customWidth="1"/>
  </cols>
  <sheetData>
    <row r="1" spans="1:4" ht="16.5">
      <c r="A1" s="2" t="s">
        <v>27</v>
      </c>
      <c r="B1" s="2" t="s">
        <v>57</v>
      </c>
      <c r="C1" s="2" t="s">
        <v>58</v>
      </c>
      <c r="D1" s="2" t="s">
        <v>59</v>
      </c>
    </row>
    <row r="2" spans="1:4" ht="16.5">
      <c r="A2" s="3" t="s">
        <v>38</v>
      </c>
      <c r="B2" s="3" t="s">
        <v>38</v>
      </c>
      <c r="C2" s="3" t="s">
        <v>38</v>
      </c>
      <c r="D2" s="3" t="s">
        <v>38</v>
      </c>
    </row>
    <row r="3" spans="1:4">
      <c r="A3" t="s">
        <v>60</v>
      </c>
      <c r="B3" s="4" t="s">
        <v>177</v>
      </c>
      <c r="C3" s="4" t="s">
        <v>178</v>
      </c>
      <c r="D3" s="4" t="s">
        <v>179</v>
      </c>
    </row>
    <row r="4" spans="1:4" s="15" customFormat="1">
      <c r="A4">
        <v>1</v>
      </c>
      <c r="B4">
        <v>100</v>
      </c>
      <c r="C4">
        <v>10</v>
      </c>
      <c r="D4">
        <v>0</v>
      </c>
    </row>
    <row r="5" spans="1:4" s="15" customFormat="1">
      <c r="A5">
        <v>2</v>
      </c>
      <c r="B5">
        <v>200</v>
      </c>
      <c r="C5">
        <v>10</v>
      </c>
      <c r="D5">
        <v>0</v>
      </c>
    </row>
    <row r="6" spans="1:4" s="15" customFormat="1">
      <c r="A6">
        <v>3</v>
      </c>
      <c r="B6">
        <v>300</v>
      </c>
      <c r="C6">
        <v>11</v>
      </c>
      <c r="D6">
        <v>0</v>
      </c>
    </row>
    <row r="7" spans="1:4" s="15" customFormat="1">
      <c r="A7">
        <v>4</v>
      </c>
      <c r="B7">
        <v>400</v>
      </c>
      <c r="C7">
        <v>11</v>
      </c>
      <c r="D7">
        <v>0</v>
      </c>
    </row>
    <row r="8" spans="1:4" s="15" customFormat="1">
      <c r="A8">
        <v>5</v>
      </c>
      <c r="B8">
        <v>500</v>
      </c>
      <c r="C8">
        <v>12</v>
      </c>
      <c r="D8">
        <v>0</v>
      </c>
    </row>
    <row r="9" spans="1:4">
      <c r="A9">
        <v>6</v>
      </c>
      <c r="B9">
        <v>600</v>
      </c>
      <c r="C9">
        <v>12</v>
      </c>
      <c r="D9">
        <v>0</v>
      </c>
    </row>
    <row r="10" spans="1:4">
      <c r="A10">
        <v>7</v>
      </c>
      <c r="B10">
        <v>700</v>
      </c>
      <c r="C10">
        <v>13</v>
      </c>
      <c r="D10">
        <v>0</v>
      </c>
    </row>
    <row r="11" spans="1:4">
      <c r="A11">
        <v>8</v>
      </c>
      <c r="B11">
        <v>800</v>
      </c>
      <c r="C11">
        <v>13</v>
      </c>
      <c r="D11">
        <v>0</v>
      </c>
    </row>
    <row r="12" spans="1:4">
      <c r="A12">
        <v>9</v>
      </c>
      <c r="B12">
        <v>900</v>
      </c>
      <c r="C12">
        <v>14</v>
      </c>
      <c r="D12">
        <v>0</v>
      </c>
    </row>
    <row r="13" spans="1:4">
      <c r="A13">
        <v>10</v>
      </c>
      <c r="B13">
        <v>1000</v>
      </c>
      <c r="C13">
        <v>14</v>
      </c>
      <c r="D13">
        <v>0</v>
      </c>
    </row>
    <row r="14" spans="1:4">
      <c r="A14">
        <v>11</v>
      </c>
      <c r="B14">
        <v>1100</v>
      </c>
      <c r="C14">
        <v>15</v>
      </c>
      <c r="D14">
        <v>0</v>
      </c>
    </row>
    <row r="15" spans="1:4">
      <c r="A15">
        <v>12</v>
      </c>
      <c r="B15">
        <v>1200</v>
      </c>
      <c r="C15">
        <v>15</v>
      </c>
      <c r="D15">
        <v>0</v>
      </c>
    </row>
    <row r="16" spans="1:4">
      <c r="A16">
        <v>13</v>
      </c>
      <c r="B16">
        <v>1300</v>
      </c>
      <c r="C16">
        <v>16</v>
      </c>
      <c r="D16">
        <v>0</v>
      </c>
    </row>
    <row r="17" spans="1:4">
      <c r="A17">
        <v>14</v>
      </c>
      <c r="B17">
        <v>1400</v>
      </c>
      <c r="C17">
        <v>16</v>
      </c>
      <c r="D17">
        <v>0</v>
      </c>
    </row>
    <row r="18" spans="1:4">
      <c r="A18">
        <v>15</v>
      </c>
      <c r="B18">
        <v>1500</v>
      </c>
      <c r="C18">
        <v>17</v>
      </c>
      <c r="D18">
        <v>0</v>
      </c>
    </row>
    <row r="19" spans="1:4">
      <c r="A19">
        <v>16</v>
      </c>
      <c r="B19">
        <v>1600</v>
      </c>
      <c r="C19">
        <v>17</v>
      </c>
      <c r="D19">
        <v>0</v>
      </c>
    </row>
    <row r="20" spans="1:4">
      <c r="A20">
        <v>17</v>
      </c>
      <c r="B20">
        <v>1700</v>
      </c>
      <c r="C20">
        <v>18</v>
      </c>
      <c r="D20">
        <v>0</v>
      </c>
    </row>
    <row r="21" spans="1:4">
      <c r="A21">
        <v>18</v>
      </c>
      <c r="B21">
        <v>1800</v>
      </c>
      <c r="C21">
        <v>18</v>
      </c>
      <c r="D21">
        <v>0</v>
      </c>
    </row>
    <row r="22" spans="1:4">
      <c r="A22">
        <v>19</v>
      </c>
      <c r="B22">
        <v>1900</v>
      </c>
      <c r="C22">
        <v>19</v>
      </c>
      <c r="D22">
        <v>0</v>
      </c>
    </row>
    <row r="23" spans="1:4">
      <c r="A23">
        <v>20</v>
      </c>
      <c r="B23">
        <v>2000</v>
      </c>
      <c r="C23">
        <v>19</v>
      </c>
      <c r="D23">
        <v>0</v>
      </c>
    </row>
    <row r="24" spans="1:4">
      <c r="A24">
        <v>21</v>
      </c>
      <c r="B24">
        <v>2100</v>
      </c>
      <c r="C24">
        <v>20</v>
      </c>
      <c r="D24">
        <v>0</v>
      </c>
    </row>
    <row r="25" spans="1:4">
      <c r="A25">
        <v>22</v>
      </c>
      <c r="B25">
        <v>2200</v>
      </c>
      <c r="C25">
        <v>20</v>
      </c>
      <c r="D25">
        <v>0</v>
      </c>
    </row>
    <row r="26" spans="1:4">
      <c r="A26">
        <v>23</v>
      </c>
      <c r="B26">
        <v>2300</v>
      </c>
      <c r="C26">
        <v>21</v>
      </c>
      <c r="D26">
        <v>0</v>
      </c>
    </row>
    <row r="27" spans="1:4">
      <c r="A27">
        <v>24</v>
      </c>
      <c r="B27">
        <v>2400</v>
      </c>
      <c r="C27">
        <v>21</v>
      </c>
      <c r="D27">
        <v>0</v>
      </c>
    </row>
    <row r="28" spans="1:4">
      <c r="A28">
        <v>25</v>
      </c>
      <c r="B28">
        <v>2500</v>
      </c>
      <c r="C28">
        <v>22</v>
      </c>
      <c r="D28">
        <v>0</v>
      </c>
    </row>
    <row r="29" spans="1:4">
      <c r="A29">
        <v>26</v>
      </c>
      <c r="B29">
        <v>2600</v>
      </c>
      <c r="C29">
        <v>22</v>
      </c>
      <c r="D29">
        <v>0</v>
      </c>
    </row>
    <row r="30" spans="1:4">
      <c r="A30">
        <v>27</v>
      </c>
      <c r="B30">
        <v>2700</v>
      </c>
      <c r="C30">
        <v>23</v>
      </c>
      <c r="D30">
        <v>0</v>
      </c>
    </row>
    <row r="31" spans="1:4">
      <c r="A31">
        <v>28</v>
      </c>
      <c r="B31">
        <v>2800</v>
      </c>
      <c r="C31">
        <v>23</v>
      </c>
      <c r="D31">
        <v>0</v>
      </c>
    </row>
    <row r="32" spans="1:4">
      <c r="A32">
        <v>29</v>
      </c>
      <c r="B32">
        <v>2900</v>
      </c>
      <c r="C32">
        <v>24</v>
      </c>
      <c r="D32">
        <v>0</v>
      </c>
    </row>
    <row r="33" spans="1:4">
      <c r="A33">
        <v>30</v>
      </c>
      <c r="B33">
        <v>3000</v>
      </c>
      <c r="C33">
        <v>24</v>
      </c>
      <c r="D33">
        <v>0</v>
      </c>
    </row>
  </sheetData>
  <phoneticPr fontId="9" type="noConversion"/>
  <pageMargins left="0.75" right="0.75" top="1" bottom="1" header="0.51180555555555596" footer="0.51180555555555596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9"/>
  <sheetViews>
    <sheetView workbookViewId="0">
      <selection activeCell="D14" sqref="D14"/>
    </sheetView>
  </sheetViews>
  <sheetFormatPr defaultColWidth="9" defaultRowHeight="13.5"/>
  <cols>
    <col min="1" max="3" width="20.625" customWidth="1"/>
    <col min="4" max="4" width="18.25" customWidth="1"/>
    <col min="5" max="9" width="16.125" customWidth="1"/>
  </cols>
  <sheetData>
    <row r="1" spans="1:8" ht="16.5">
      <c r="A1" s="2" t="s">
        <v>27</v>
      </c>
      <c r="B1" s="2" t="s">
        <v>89</v>
      </c>
      <c r="C1" s="2" t="s">
        <v>96</v>
      </c>
      <c r="D1" s="2" t="s">
        <v>28</v>
      </c>
      <c r="E1" s="2" t="s">
        <v>29</v>
      </c>
      <c r="F1" s="2" t="s">
        <v>30</v>
      </c>
      <c r="G1" s="2" t="s">
        <v>198</v>
      </c>
      <c r="H1" s="2" t="s">
        <v>61</v>
      </c>
    </row>
    <row r="2" spans="1:8" ht="16.5">
      <c r="A2" s="3" t="s">
        <v>38</v>
      </c>
      <c r="B2" s="3" t="s">
        <v>90</v>
      </c>
      <c r="C2" s="3" t="s">
        <v>90</v>
      </c>
      <c r="D2" s="3" t="s">
        <v>13</v>
      </c>
      <c r="E2" s="3" t="s">
        <v>38</v>
      </c>
      <c r="F2" s="3" t="s">
        <v>38</v>
      </c>
      <c r="G2" s="3" t="s">
        <v>197</v>
      </c>
      <c r="H2" s="3" t="s">
        <v>61</v>
      </c>
    </row>
    <row r="3" spans="1:8" ht="16.5">
      <c r="A3" s="5" t="s">
        <v>62</v>
      </c>
      <c r="B3" s="5" t="s">
        <v>92</v>
      </c>
      <c r="C3" s="5" t="s">
        <v>95</v>
      </c>
      <c r="D3" s="6" t="s">
        <v>40</v>
      </c>
      <c r="E3" s="6" t="s">
        <v>41</v>
      </c>
      <c r="F3" s="7" t="s">
        <v>42</v>
      </c>
      <c r="G3" s="42" t="s">
        <v>196</v>
      </c>
      <c r="H3" s="4" t="s">
        <v>63</v>
      </c>
    </row>
    <row r="4" spans="1:8">
      <c r="A4" s="8">
        <v>1</v>
      </c>
      <c r="B4" s="1">
        <v>9055</v>
      </c>
      <c r="C4" s="22">
        <v>9476</v>
      </c>
      <c r="D4" s="9" t="s">
        <v>64</v>
      </c>
      <c r="E4" s="9">
        <v>10000</v>
      </c>
      <c r="F4" s="10">
        <f>表4[[#This Row],[价格]]*3</f>
        <v>30000</v>
      </c>
      <c r="G4" s="43">
        <v>1</v>
      </c>
      <c r="H4" t="str">
        <f>表4[[#This Row],[礼包内容]]&amp;"钻石"</f>
        <v>30000钻石</v>
      </c>
    </row>
    <row r="5" spans="1:8">
      <c r="A5" s="8">
        <v>2</v>
      </c>
      <c r="B5" s="1">
        <v>9056</v>
      </c>
      <c r="C5" s="22">
        <v>9477</v>
      </c>
      <c r="D5" s="9" t="s">
        <v>65</v>
      </c>
      <c r="E5" s="9">
        <v>20000</v>
      </c>
      <c r="F5" s="10">
        <f>表4[[#This Row],[价格]]*3</f>
        <v>60000</v>
      </c>
      <c r="G5" s="43">
        <v>1</v>
      </c>
      <c r="H5" t="str">
        <f>表4[[#This Row],[礼包内容]]&amp;"钻石"</f>
        <v>60000钻石</v>
      </c>
    </row>
    <row r="6" spans="1:8">
      <c r="A6" s="8">
        <v>3</v>
      </c>
      <c r="B6" s="1">
        <v>9057</v>
      </c>
      <c r="C6" s="22">
        <v>9478</v>
      </c>
      <c r="D6" s="11" t="s">
        <v>66</v>
      </c>
      <c r="E6" s="9">
        <v>50000</v>
      </c>
      <c r="F6" s="10">
        <f>表4[[#This Row],[价格]]*3</f>
        <v>150000</v>
      </c>
      <c r="G6" s="43">
        <v>1</v>
      </c>
      <c r="H6" t="str">
        <f>表4[[#This Row],[礼包内容]]&amp;"钻石"</f>
        <v>150000钻石</v>
      </c>
    </row>
    <row r="7" spans="1:8">
      <c r="A7" s="8">
        <v>4</v>
      </c>
      <c r="B7" s="1">
        <v>9058</v>
      </c>
      <c r="C7" s="22">
        <v>9479</v>
      </c>
      <c r="D7" s="9" t="s">
        <v>67</v>
      </c>
      <c r="E7" s="9">
        <v>100000</v>
      </c>
      <c r="F7" s="10">
        <f>表4[[#This Row],[价格]]*3</f>
        <v>300000</v>
      </c>
      <c r="G7" s="43">
        <v>1</v>
      </c>
      <c r="H7" t="str">
        <f>表4[[#This Row],[礼包内容]]&amp;"钻石"</f>
        <v>300000钻石</v>
      </c>
    </row>
    <row r="8" spans="1:8">
      <c r="A8" s="12">
        <v>5</v>
      </c>
      <c r="B8" s="1">
        <v>9059</v>
      </c>
      <c r="C8" s="22">
        <v>9480</v>
      </c>
      <c r="D8" s="13" t="s">
        <v>68</v>
      </c>
      <c r="E8" s="13">
        <v>200000</v>
      </c>
      <c r="F8" s="10">
        <f>表4[[#This Row],[价格]]*3</f>
        <v>600000</v>
      </c>
      <c r="G8" s="43">
        <v>1</v>
      </c>
      <c r="H8" t="str">
        <f>表4[[#This Row],[礼包内容]]&amp;"钻石"</f>
        <v>600000钻石</v>
      </c>
    </row>
    <row r="9" spans="1:8">
      <c r="A9" s="8">
        <v>6</v>
      </c>
      <c r="B9" s="1">
        <v>9060</v>
      </c>
      <c r="C9" s="22">
        <v>9481</v>
      </c>
      <c r="D9" s="14" t="s">
        <v>69</v>
      </c>
      <c r="E9" s="14">
        <v>500000</v>
      </c>
      <c r="F9" s="10">
        <f>表4[[#This Row],[价格]]*3</f>
        <v>1500000</v>
      </c>
      <c r="G9" s="43">
        <v>1</v>
      </c>
      <c r="H9" t="str">
        <f>表4[[#This Row],[礼包内容]]&amp;"钻石"</f>
        <v>1500000钻石</v>
      </c>
    </row>
  </sheetData>
  <phoneticPr fontId="9" type="noConversion"/>
  <pageMargins left="0.75" right="0.75" top="1" bottom="1" header="0.51180555555555596" footer="0.51180555555555596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5"/>
  <sheetViews>
    <sheetView workbookViewId="0">
      <selection activeCell="H23" sqref="H23"/>
    </sheetView>
  </sheetViews>
  <sheetFormatPr defaultColWidth="9" defaultRowHeight="13.5"/>
  <cols>
    <col min="1" max="3" width="11.75" customWidth="1"/>
    <col min="4" max="4" width="9.75" customWidth="1"/>
    <col min="5" max="5" width="18.375" customWidth="1"/>
    <col min="6" max="6" width="65.125" customWidth="1"/>
    <col min="7" max="9" width="16.125" customWidth="1"/>
  </cols>
  <sheetData>
    <row r="1" spans="1:8" ht="16.5">
      <c r="A1" s="2" t="s">
        <v>27</v>
      </c>
      <c r="B1" s="2" t="s">
        <v>88</v>
      </c>
      <c r="C1" s="2" t="s">
        <v>94</v>
      </c>
      <c r="D1" s="2" t="s">
        <v>29</v>
      </c>
      <c r="E1" s="2" t="s">
        <v>70</v>
      </c>
      <c r="F1" s="2" t="s">
        <v>71</v>
      </c>
      <c r="G1" s="2" t="s">
        <v>72</v>
      </c>
      <c r="H1" s="2" t="s">
        <v>61</v>
      </c>
    </row>
    <row r="2" spans="1:8" ht="16.5">
      <c r="A2" s="3" t="s">
        <v>38</v>
      </c>
      <c r="B2" s="3" t="s">
        <v>38</v>
      </c>
      <c r="C2" s="3" t="s">
        <v>38</v>
      </c>
      <c r="D2" s="3" t="s">
        <v>38</v>
      </c>
      <c r="E2" s="3" t="s">
        <v>38</v>
      </c>
      <c r="F2" s="3" t="s">
        <v>195</v>
      </c>
      <c r="G2" s="3" t="s">
        <v>99</v>
      </c>
      <c r="H2" s="3" t="s">
        <v>61</v>
      </c>
    </row>
    <row r="3" spans="1:8">
      <c r="A3" s="4" t="s">
        <v>73</v>
      </c>
      <c r="B3" s="4" t="s">
        <v>91</v>
      </c>
      <c r="C3" s="4" t="s">
        <v>95</v>
      </c>
      <c r="D3" s="4" t="s">
        <v>74</v>
      </c>
      <c r="E3" s="4" t="s">
        <v>75</v>
      </c>
      <c r="F3" s="4" t="s">
        <v>159</v>
      </c>
      <c r="G3" s="4" t="s">
        <v>76</v>
      </c>
      <c r="H3" s="4" t="s">
        <v>14</v>
      </c>
    </row>
    <row r="4" spans="1:8">
      <c r="A4" s="16">
        <v>100</v>
      </c>
      <c r="B4" s="31">
        <v>9067</v>
      </c>
      <c r="C4" s="32">
        <v>9488</v>
      </c>
      <c r="D4" s="16">
        <v>180000</v>
      </c>
      <c r="E4" s="16">
        <v>600</v>
      </c>
      <c r="F4" s="16" t="s">
        <v>193</v>
      </c>
      <c r="G4" s="16">
        <v>1</v>
      </c>
      <c r="H4" s="16" t="s">
        <v>77</v>
      </c>
    </row>
    <row r="5" spans="1:8">
      <c r="A5" s="16">
        <v>101</v>
      </c>
      <c r="B5" s="31">
        <v>9068</v>
      </c>
      <c r="C5" s="32">
        <v>9489</v>
      </c>
      <c r="D5" s="16">
        <v>900000</v>
      </c>
      <c r="E5" s="16">
        <v>2400</v>
      </c>
      <c r="F5" s="16" t="s">
        <v>194</v>
      </c>
      <c r="G5" s="16">
        <v>1.0249999999999999</v>
      </c>
      <c r="H5" s="16" t="s">
        <v>78</v>
      </c>
    </row>
  </sheetData>
  <phoneticPr fontId="9" type="noConversion"/>
  <pageMargins left="0.75" right="0.75" top="1" bottom="1" header="0.51180555555555596" footer="0.51180555555555596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07060-5E29-4073-A199-2ED85557CEA5}">
  <sheetPr codeName="Sheet8"/>
  <dimension ref="A1:D14"/>
  <sheetViews>
    <sheetView tabSelected="1" workbookViewId="0">
      <selection activeCell="F20" sqref="F20"/>
    </sheetView>
  </sheetViews>
  <sheetFormatPr defaultRowHeight="13.5"/>
  <cols>
    <col min="1" max="2" width="16.375" customWidth="1"/>
    <col min="4" max="4" width="10.625" customWidth="1"/>
  </cols>
  <sheetData>
    <row r="1" spans="1:4" s="34" customFormat="1" ht="14.25">
      <c r="A1" s="36" t="s">
        <v>171</v>
      </c>
      <c r="B1" s="36" t="s">
        <v>170</v>
      </c>
      <c r="C1" s="33" t="s">
        <v>171</v>
      </c>
    </row>
    <row r="2" spans="1:4" s="34" customFormat="1" ht="14.25">
      <c r="A2" s="37" t="s">
        <v>165</v>
      </c>
      <c r="B2" s="37" t="s">
        <v>174</v>
      </c>
      <c r="C2" s="35" t="s">
        <v>161</v>
      </c>
    </row>
    <row r="3" spans="1:4" s="34" customFormat="1" ht="15" customHeight="1">
      <c r="A3" s="39" t="s">
        <v>172</v>
      </c>
      <c r="B3" s="39" t="s">
        <v>173</v>
      </c>
      <c r="C3" s="34" t="s">
        <v>163</v>
      </c>
      <c r="D3" s="34" t="s">
        <v>182</v>
      </c>
    </row>
    <row r="4" spans="1:4">
      <c r="A4" s="38" t="s">
        <v>160</v>
      </c>
      <c r="B4" s="38" t="str">
        <f>IF(表4_786[[#This Row],[购买金币]]="i001","gold","pearl")</f>
        <v>gold</v>
      </c>
      <c r="C4" s="4" t="s">
        <v>162</v>
      </c>
      <c r="D4" s="4" t="s">
        <v>183</v>
      </c>
    </row>
    <row r="5" spans="1:4">
      <c r="A5" s="38" t="s">
        <v>175</v>
      </c>
      <c r="B5" s="40" t="str">
        <f>IF(表4_786[[#This Row],[购买金币]]="i001","gold","pearl")</f>
        <v>gold</v>
      </c>
      <c r="C5" s="4" t="s">
        <v>162</v>
      </c>
      <c r="D5" s="4" t="s">
        <v>184</v>
      </c>
    </row>
    <row r="6" spans="1:4">
      <c r="A6" s="38" t="s">
        <v>176</v>
      </c>
      <c r="B6" s="40" t="str">
        <f>IF(表4_786[[#This Row],[购买金币]]="i001","gold","pearl")</f>
        <v>pearl</v>
      </c>
      <c r="C6" s="4" t="s">
        <v>164</v>
      </c>
      <c r="D6" s="4" t="s">
        <v>185</v>
      </c>
    </row>
    <row r="7" spans="1:4">
      <c r="A7" s="40" t="s">
        <v>166</v>
      </c>
      <c r="B7" s="40" t="str">
        <f>IF(表4_786[[#This Row],[购买金币]]="i001","gold","pearl")</f>
        <v>gold</v>
      </c>
      <c r="C7" s="4" t="s">
        <v>162</v>
      </c>
      <c r="D7" s="4" t="s">
        <v>186</v>
      </c>
    </row>
    <row r="8" spans="1:4">
      <c r="A8" s="40" t="s">
        <v>167</v>
      </c>
      <c r="B8" s="40" t="str">
        <f>IF(表4_786[[#This Row],[购买金币]]="i001","gold","pearl")</f>
        <v>gold</v>
      </c>
      <c r="C8" s="4" t="s">
        <v>162</v>
      </c>
      <c r="D8" s="4" t="s">
        <v>187</v>
      </c>
    </row>
    <row r="9" spans="1:4">
      <c r="A9" s="40" t="s">
        <v>168</v>
      </c>
      <c r="B9" s="40" t="str">
        <f>IF(表4_786[[#This Row],[购买金币]]="i001","gold","pearl")</f>
        <v>pearl</v>
      </c>
      <c r="C9" s="4" t="s">
        <v>164</v>
      </c>
      <c r="D9" s="4" t="s">
        <v>188</v>
      </c>
    </row>
    <row r="10" spans="1:4">
      <c r="A10" s="40" t="s">
        <v>169</v>
      </c>
      <c r="B10" s="40" t="str">
        <f>IF(表4_786[[#This Row],[购买金币]]="i001","gold","pearl")</f>
        <v>pearl</v>
      </c>
      <c r="C10" s="4" t="s">
        <v>164</v>
      </c>
      <c r="D10" s="4" t="s">
        <v>189</v>
      </c>
    </row>
    <row r="11" spans="1:4">
      <c r="A11" s="38" t="s">
        <v>180</v>
      </c>
      <c r="B11" s="40" t="s">
        <v>181</v>
      </c>
      <c r="C11" s="4" t="s">
        <v>162</v>
      </c>
      <c r="D11" s="4" t="s">
        <v>190</v>
      </c>
    </row>
    <row r="12" spans="1:4">
      <c r="A12" s="38" t="s">
        <v>191</v>
      </c>
      <c r="B12" s="41" t="str">
        <f>IF(表4_786[[#This Row],[购买金币]]="i001","gold","pearl")</f>
        <v>pearl</v>
      </c>
      <c r="C12" s="4" t="s">
        <v>164</v>
      </c>
      <c r="D12" s="4" t="s">
        <v>192</v>
      </c>
    </row>
    <row r="13" spans="1:4">
      <c r="A13" s="38" t="s">
        <v>202</v>
      </c>
      <c r="B13" s="41" t="str">
        <f>IF(表4_786[[#This Row],[购买金币]]="i001","gold","pearl")</f>
        <v>gold</v>
      </c>
      <c r="C13" s="4" t="s">
        <v>162</v>
      </c>
      <c r="D13" s="4" t="s">
        <v>199</v>
      </c>
    </row>
    <row r="14" spans="1:4">
      <c r="A14" s="38" t="s">
        <v>201</v>
      </c>
      <c r="B14" s="41" t="str">
        <f>IF(表4_786[[#This Row],[购买金币]]="i001","gold","pearl")</f>
        <v>gold</v>
      </c>
      <c r="C14" s="4" t="s">
        <v>162</v>
      </c>
      <c r="D14" s="4" t="s">
        <v>200</v>
      </c>
    </row>
  </sheetData>
  <phoneticPr fontId="9" type="noConversion"/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5"/>
  <sheetViews>
    <sheetView workbookViewId="0">
      <selection sqref="A1:I5"/>
    </sheetView>
  </sheetViews>
  <sheetFormatPr defaultColWidth="9" defaultRowHeight="13.5"/>
  <cols>
    <col min="1" max="2" width="11.75" customWidth="1"/>
    <col min="3" max="3" width="13.5" bestFit="1" customWidth="1"/>
    <col min="4" max="4" width="9.75" customWidth="1"/>
    <col min="5" max="6" width="18.375" customWidth="1"/>
    <col min="7" max="7" width="16.125" customWidth="1"/>
    <col min="8" max="8" width="16.375" customWidth="1"/>
    <col min="9" max="10" width="16.125" customWidth="1"/>
  </cols>
  <sheetData>
    <row r="1" spans="1:9" ht="16.5">
      <c r="A1" s="2" t="s">
        <v>27</v>
      </c>
      <c r="B1" s="2" t="s">
        <v>88</v>
      </c>
      <c r="C1" s="2" t="s">
        <v>94</v>
      </c>
      <c r="D1" s="2" t="s">
        <v>29</v>
      </c>
      <c r="E1" s="2" t="s">
        <v>79</v>
      </c>
      <c r="F1" s="2" t="s">
        <v>80</v>
      </c>
      <c r="G1" s="2" t="s">
        <v>72</v>
      </c>
      <c r="H1" s="2" t="s">
        <v>81</v>
      </c>
      <c r="I1" s="2" t="s">
        <v>61</v>
      </c>
    </row>
    <row r="2" spans="1:9" ht="16.5">
      <c r="A2" s="3" t="s">
        <v>38</v>
      </c>
      <c r="B2" s="3" t="s">
        <v>38</v>
      </c>
      <c r="C2" s="3" t="s">
        <v>38</v>
      </c>
      <c r="D2" s="3" t="s">
        <v>38</v>
      </c>
      <c r="E2" s="3" t="s">
        <v>38</v>
      </c>
      <c r="F2" s="3" t="s">
        <v>38</v>
      </c>
      <c r="G2" s="3" t="s">
        <v>99</v>
      </c>
      <c r="H2" s="3" t="s">
        <v>99</v>
      </c>
      <c r="I2" s="3" t="s">
        <v>61</v>
      </c>
    </row>
    <row r="3" spans="1:9">
      <c r="A3" s="4" t="s">
        <v>82</v>
      </c>
      <c r="B3" s="4" t="s">
        <v>91</v>
      </c>
      <c r="C3" s="4" t="s">
        <v>95</v>
      </c>
      <c r="D3" s="4" t="s">
        <v>74</v>
      </c>
      <c r="E3" s="4" t="s">
        <v>83</v>
      </c>
      <c r="F3" s="4" t="s">
        <v>84</v>
      </c>
      <c r="G3" s="4" t="s">
        <v>76</v>
      </c>
      <c r="H3" s="4" t="s">
        <v>85</v>
      </c>
      <c r="I3" s="4" t="s">
        <v>14</v>
      </c>
    </row>
    <row r="4" spans="1:9">
      <c r="A4">
        <v>1000</v>
      </c>
      <c r="B4" s="1">
        <v>9069</v>
      </c>
      <c r="C4" s="22">
        <v>9490</v>
      </c>
      <c r="D4">
        <v>1</v>
      </c>
      <c r="E4">
        <v>50000</v>
      </c>
      <c r="F4">
        <v>500</v>
      </c>
      <c r="G4">
        <v>1.6</v>
      </c>
      <c r="H4">
        <v>5.0000000000000001E-4</v>
      </c>
      <c r="I4" s="4" t="s">
        <v>86</v>
      </c>
    </row>
    <row r="5" spans="1:9">
      <c r="A5">
        <v>1001</v>
      </c>
      <c r="B5" s="1">
        <v>9070</v>
      </c>
      <c r="C5" s="22">
        <v>9491</v>
      </c>
      <c r="D5">
        <v>10</v>
      </c>
      <c r="E5">
        <v>300000</v>
      </c>
      <c r="F5">
        <v>1000</v>
      </c>
      <c r="G5">
        <v>2</v>
      </c>
      <c r="H5">
        <v>1E-3</v>
      </c>
      <c r="I5" s="4" t="s">
        <v>87</v>
      </c>
    </row>
  </sheetData>
  <phoneticPr fontId="9" type="noConversion"/>
  <pageMargins left="0.75" right="0.75" top="1" bottom="1" header="0.51180555555555596" footer="0.51180555555555596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description</vt:lpstr>
      <vt:lpstr>itemtype_const_cfg</vt:lpstr>
      <vt:lpstr>gift_cfg</vt:lpstr>
      <vt:lpstr>gold_cfg</vt:lpstr>
      <vt:lpstr>pearl_cfg</vt:lpstr>
      <vt:lpstr>card_cfg</vt:lpstr>
      <vt:lpstr>shop_buy_type_cfg</vt:lpstr>
      <vt:lpstr>fund_cfg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2017-12-08T01:46:41Z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2052-10.1.0.6260</vt:lpwstr>
  </property>
</Properties>
</file>