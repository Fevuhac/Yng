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F:\fishjoy_design\data_table_js-越南版\"/>
    </mc:Choice>
  </mc:AlternateContent>
  <bookViews>
    <workbookView xWindow="0" yWindow="0" windowWidth="28695" windowHeight="15000" activeTab="5" xr2:uid="{00000000-000D-0000-FFFF-FFFF00000000}"/>
  </bookViews>
  <sheets>
    <sheet name="description" sheetId="1" r:id="rId1"/>
    <sheet name="friend_cfg" sheetId="6" r:id="rId2"/>
    <sheet name="friendfirst_cfg" sheetId="9" r:id="rId3"/>
    <sheet name="share_cfg" sheetId="5" r:id="rId4"/>
    <sheet name="sharefirst_cfg" sheetId="10" r:id="rId5"/>
    <sheet name="guerdon_cfg" sheetId="8" r:id="rId6"/>
  </sheets>
  <functionGroups builtInGroupCount="19"/>
  <externalReferences>
    <externalReference r:id="rId7"/>
  </externalReferences>
  <calcPr calcId="171027"/>
</workbook>
</file>

<file path=xl/calcChain.xml><?xml version="1.0" encoding="utf-8"?>
<calcChain xmlns="http://schemas.openxmlformats.org/spreadsheetml/2006/main">
  <c r="J11" i="5" l="1"/>
  <c r="J10" i="5"/>
  <c r="J9" i="5"/>
  <c r="J8" i="5"/>
  <c r="J7" i="5"/>
  <c r="J6" i="5"/>
  <c r="J5" i="5"/>
  <c r="J4" i="5"/>
</calcChain>
</file>

<file path=xl/sharedStrings.xml><?xml version="1.0" encoding="utf-8"?>
<sst xmlns="http://schemas.openxmlformats.org/spreadsheetml/2006/main" count="174" uniqueCount="89">
  <si>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</si>
  <si>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</si>
  <si>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</si>
  <si>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</si>
  <si>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</si>
  <si>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</si>
  <si>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</si>
  <si>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</si>
  <si>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</si>
  <si>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</si>
  <si>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</si>
  <si>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</si>
  <si>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id</t>
  </si>
  <si>
    <t>number</t>
  </si>
  <si>
    <t>reward</t>
  </si>
  <si>
    <t>pic</t>
  </si>
  <si>
    <t>desc</t>
  </si>
  <si>
    <t>int</t>
  </si>
  <si>
    <t>table</t>
  </si>
  <si>
    <t>邀请人数</t>
  </si>
  <si>
    <t>奖励内容</t>
  </si>
  <si>
    <t>分享图片,注意带后缀且与服务器上一致</t>
  </si>
  <si>
    <t>分享文本</t>
  </si>
  <si>
    <t>["wb_share_0.jpg","wb_share_1.jpg","wb_share_2.jpg"]</t>
  </si>
  <si>
    <t>["wb_share_0","wb_share_1","wb_share_2"]</t>
  </si>
  <si>
    <t>name</t>
  </si>
  <si>
    <t>type</t>
  </si>
  <si>
    <t>value1</t>
  </si>
  <si>
    <t>value2</t>
  </si>
  <si>
    <t>repeat</t>
  </si>
  <si>
    <t>string</t>
  </si>
  <si>
    <t>任务ID</t>
  </si>
  <si>
    <t>任务名称</t>
  </si>
  <si>
    <t>任务类型</t>
  </si>
  <si>
    <t>任务参数1</t>
  </si>
  <si>
    <t>参数2</t>
  </si>
  <si>
    <t>分享奖励</t>
  </si>
  <si>
    <t>重复类型</t>
  </si>
  <si>
    <t>备注</t>
  </si>
  <si>
    <t>share_name_101</t>
  </si>
  <si>
    <t>share_name_102</t>
  </si>
  <si>
    <t>share_name_103</t>
  </si>
  <si>
    <t>share_name_104</t>
  </si>
  <si>
    <t>share_name_105</t>
  </si>
  <si>
    <t>share_name_106</t>
  </si>
  <si>
    <t>share_name_107</t>
  </si>
  <si>
    <t>share_name_108</t>
  </si>
  <si>
    <t>["wb_share_0.png","wb_share_1.png","wb_share_2.png"]</t>
  </si>
  <si>
    <t>["wb_share_0","wb_share_1","wb_share_2","wb_share_3","wb_share_4"]</t>
    <phoneticPr fontId="5" type="noConversion"/>
  </si>
  <si>
    <t>类型名称</t>
    <phoneticPr fontId="5" type="noConversion"/>
  </si>
  <si>
    <t>[["i015",1],["i016",1],["i017",1]]</t>
    <phoneticPr fontId="5" type="noConversion"/>
  </si>
  <si>
    <t>[["i400",1],["i400",9],["i400",99]]</t>
    <phoneticPr fontId="5" type="noConversion"/>
  </si>
  <si>
    <t>guerdon_name_1</t>
    <phoneticPr fontId="5" type="noConversion"/>
  </si>
  <si>
    <t>guerdon_name_2</t>
  </si>
  <si>
    <t>guerdon_name_3</t>
  </si>
  <si>
    <t>name</t>
    <phoneticPr fontId="5" type="noConversion"/>
  </si>
  <si>
    <t>string</t>
    <phoneticPr fontId="5" type="noConversion"/>
  </si>
  <si>
    <t>[["i001",1000],["i001",10000],["i001",100000]]</t>
    <phoneticPr fontId="5" type="noConversion"/>
  </si>
  <si>
    <r>
      <t>p</t>
    </r>
    <r>
      <rPr>
        <sz val="11"/>
        <color indexed="8"/>
        <rFont val="宋体"/>
        <family val="3"/>
        <charset val="134"/>
      </rPr>
      <t>rice</t>
    </r>
    <phoneticPr fontId="5" type="noConversion"/>
  </si>
  <si>
    <r>
      <t>t</t>
    </r>
    <r>
      <rPr>
        <sz val="11"/>
        <color indexed="8"/>
        <rFont val="宋体"/>
        <family val="3"/>
        <charset val="134"/>
      </rPr>
      <t>able</t>
    </r>
    <phoneticPr fontId="5" type="noConversion"/>
  </si>
  <si>
    <t>购买价格</t>
    <phoneticPr fontId="5" type="noConversion"/>
  </si>
  <si>
    <t>notice</t>
    <phoneticPr fontId="5" type="noConversion"/>
  </si>
  <si>
    <t>table</t>
    <phoneticPr fontId="5" type="noConversion"/>
  </si>
  <si>
    <t>是否公告</t>
    <phoneticPr fontId="5" type="noConversion"/>
  </si>
  <si>
    <t>[0,0,1]</t>
    <phoneticPr fontId="5" type="noConversion"/>
  </si>
  <si>
    <t>[1,1,1]</t>
    <phoneticPr fontId="5" type="noConversion"/>
  </si>
  <si>
    <t>[0,1,1]</t>
    <phoneticPr fontId="5" type="noConversion"/>
  </si>
  <si>
    <t>pic</t>
    <phoneticPr fontId="5" type="noConversion"/>
  </si>
  <si>
    <t>[["i002",5],["i011",2]]</t>
    <phoneticPr fontId="5" type="noConversion"/>
  </si>
  <si>
    <t>[["i240",10],["i002",10],["i011",5]]</t>
    <phoneticPr fontId="5" type="noConversion"/>
  </si>
  <si>
    <t>[["i240",20],["i002",20],["i012",5]]</t>
    <phoneticPr fontId="5" type="noConversion"/>
  </si>
  <si>
    <t>[["i240",30],["i002",30],["i013",5]]</t>
    <phoneticPr fontId="5" type="noConversion"/>
  </si>
  <si>
    <t>[["i240",40],["i002",40],["i011",10]]</t>
    <phoneticPr fontId="5" type="noConversion"/>
  </si>
  <si>
    <t>[["i240",50],["i002",60],["i012",10]]</t>
    <phoneticPr fontId="5" type="noConversion"/>
  </si>
  <si>
    <t>[["i240",60],["i002",80],["i013",10]]</t>
    <phoneticPr fontId="5" type="noConversion"/>
  </si>
  <si>
    <t>[["i240",70],["i002",100],["i012",20]]</t>
    <phoneticPr fontId="5" type="noConversion"/>
  </si>
  <si>
    <t>[["i240",80],["i002",120],["i013",20]]</t>
    <phoneticPr fontId="5" type="noConversion"/>
  </si>
  <si>
    <t>[["i240",100],["i002",200],["i011",20]]</t>
    <phoneticPr fontId="5" type="noConversion"/>
  </si>
  <si>
    <t>[["i002",5],["i006",1]]</t>
    <phoneticPr fontId="5" type="noConversion"/>
  </si>
  <si>
    <t>[["i002",5],["i011",1]]</t>
    <phoneticPr fontId="5" type="noConversion"/>
  </si>
  <si>
    <t>[["i012",5],["i002",10]]</t>
    <phoneticPr fontId="5" type="noConversion"/>
  </si>
  <si>
    <t>[["i013",5],["i002",50]]</t>
    <phoneticPr fontId="5" type="noConversion"/>
  </si>
  <si>
    <t>[["i700",50],["i002",50]]</t>
    <phoneticPr fontId="5" type="noConversion"/>
  </si>
  <si>
    <t>[["i013",100],["i002",50]]</t>
    <phoneticPr fontId="5" type="noConversion"/>
  </si>
  <si>
    <t>[["i012",20],["i002",100]]</t>
    <phoneticPr fontId="5" type="noConversion"/>
  </si>
  <si>
    <t>[["i240",100],["i500",5]]</t>
    <phoneticPr fontId="5" type="noConversion"/>
  </si>
  <si>
    <t>[0,0,0]</t>
    <phoneticPr fontId="5" type="noConversion"/>
  </si>
  <si>
    <t>[26000,78000,160000]</t>
    <phoneticPr fontId="5" type="noConversion"/>
  </si>
  <si>
    <t>[500,4000,40000]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</si>
</sst>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18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49" fontId="1" fillId="2" borderId="1" xfId="1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/>
    </xf>
    <xf numFmtId="49" fontId="1" fillId="3" borderId="1" xfId="0" applyNumberFormat="1" applyFont="1" applyFill="1" applyBorder="1" applyAlignment="1">
      <alignment horizontal="center" vertical="center"/>
    </xf>
    <xf numFmtId="0" fontId="2" fillId="0" borderId="0" xfId="0" applyFont="1" applyAlignment="1"/>
    <xf numFmtId="0" fontId="3" fillId="0" borderId="0" xfId="0" applyFont="1" applyAlignment="1"/>
    <xf numFmtId="0" fontId="4" fillId="0" borderId="0" xfId="0" applyFont="1" applyAlignment="1"/>
    <xf numFmtId="49" fontId="1" fillId="2" borderId="1" xfId="0" applyNumberFormat="1" applyFont="1" applyFill="1" applyBorder="1" applyAlignment="1">
      <alignment horizontal="right"/>
    </xf>
    <xf numFmtId="49" fontId="1" fillId="3" borderId="2" xfId="0" applyNumberFormat="1" applyFont="1" applyFill="1" applyBorder="1" applyAlignment="1">
      <alignment horizontal="right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 applyProtection="1">
      <alignment horizontal="center"/>
    </xf>
    <xf numFmtId="0" fontId="1" fillId="5" borderId="4" xfId="0" applyNumberFormat="1" applyFont="1" applyFill="1" applyBorder="1" applyAlignment="1">
      <alignment horizontal="center" vertical="center"/>
    </xf>
    <xf numFmtId="49" fontId="1" fillId="2" borderId="5" xfId="0" applyNumberFormat="1" applyFont="1" applyFill="1" applyBorder="1" applyAlignment="1">
      <alignment horizontal="center"/>
    </xf>
    <xf numFmtId="49" fontId="1" fillId="3" borderId="6" xfId="0" applyNumberFormat="1" applyFont="1" applyFill="1" applyBorder="1" applyAlignment="1">
      <alignment horizontal="center" vertical="center"/>
    </xf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</cellXfs>
  <cellStyles count="2">
    <cellStyle name="常规" xfId="0" builtinId="0"/>
    <cellStyle name="常规 2" xfId="1" xr:uid="{00000000-0005-0000-0000-000001000000}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295275</xdr:colOff>
      <xdr:row>1</xdr:row>
      <xdr:rowOff>171450</xdr:rowOff>
    </xdr:to>
    <xdr:sp macro="导jason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0"/>
          <a:ext cx="295275" cy="381000"/>
        </a:xfrm>
        <a:prstGeom prst="rect">
          <a:avLst/>
        </a:pr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xdr:spPr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295275</xdr:colOff>
      <xdr:row>1</xdr:row>
      <xdr:rowOff>171450</xdr:rowOff>
    </xdr:to>
    <xdr:sp macro="导jason" textlink="">
      <xdr:nvSpPr>
        <xdr:cNvPr id="2" name="矩形 1">
          <a:extLst>
            <a:ext uri="{FF2B5EF4-FFF2-40B4-BE49-F238E27FC236}">
              <a16:creationId xmlns:a16="http://schemas.microsoft.com/office/drawing/2014/main" id="{775FC313-1B8B-45D0-BDBC-C456DC338508}"/>
            </a:ext>
          </a:extLst>
        </xdr:cNvPr>
        <xdr:cNvSpPr/>
      </xdr:nvSpPr>
      <xdr:spPr>
        <a:xfrm>
          <a:off x="0" y="0"/>
          <a:ext cx="295275" cy="381000"/>
        </a:xfrm>
        <a:prstGeom prst="rect">
          <a:avLst/>
        </a:pr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xdr:spPr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295275</xdr:colOff>
      <xdr:row>1</xdr:row>
      <xdr:rowOff>171450</xdr:rowOff>
    </xdr:to>
    <xdr:sp macro="导jason" textlink="">
      <xdr:nvSpPr>
        <xdr:cNvPr id="2" name="矩形 1">
          <a:extLst>
            <a:ext uri="{FF2B5EF4-FFF2-40B4-BE49-F238E27FC236}">
              <a16:creationId xmlns:a16="http://schemas.microsoft.com/office/drawing/2014/main" id="{4D8108A2-500E-4B4E-8335-4EE50E79F0FD}"/>
            </a:ext>
          </a:extLst>
        </xdr:cNvPr>
        <xdr:cNvSpPr/>
      </xdr:nvSpPr>
      <xdr:spPr>
        <a:xfrm>
          <a:off x="0" y="0"/>
          <a:ext cx="295275" cy="381000"/>
        </a:xfrm>
        <a:prstGeom prst="rect">
          <a:avLst/>
        </a:pr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xdr:spPr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ring-&#23383;&#31526;&#20018;&#349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strings_cfg"/>
      <sheetName val="string-字符串表"/>
    </sheetNames>
    <sheetDataSet>
      <sheetData sheetId="0"/>
      <sheetData sheetId="1"/>
      <sheetData sheetId="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3_2" displayName="表3_2" ref="A3:E12" totalsRowShown="0">
  <autoFilter ref="A3:E12" xr:uid="{00000000-0009-0000-0100-000001000000}"/>
  <tableColumns count="5">
    <tableColumn id="1" xr3:uid="{00000000-0010-0000-0000-000001000000}" name="id"/>
    <tableColumn id="2" xr3:uid="{00000000-0010-0000-0000-000002000000}" name="邀请人数"/>
    <tableColumn id="3" xr3:uid="{00000000-0010-0000-0000-000003000000}" name="奖励内容"/>
    <tableColumn id="4" xr3:uid="{00000000-0010-0000-0000-000004000000}" name="分享图片,注意带后缀且与服务器上一致"/>
    <tableColumn id="5" xr3:uid="{00000000-0010-0000-0000-000005000000}" name="分享文本"/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403C7E-405F-456C-8453-4739D4DB6E65}" name="表3_25" displayName="表3_25" ref="A3:E4" totalsRowShown="0">
  <autoFilter ref="A3:E4" xr:uid="{00000000-0009-0000-0100-000001000000}"/>
  <tableColumns count="5">
    <tableColumn id="1" xr3:uid="{3D71B8A2-AC3D-48B1-825F-D843E38FA7B0}" name="id"/>
    <tableColumn id="2" xr3:uid="{B9652D10-A9D1-4C10-AF9D-F41C73A839AA}" name="邀请人数"/>
    <tableColumn id="3" xr3:uid="{FDC59F5E-A6BE-40E3-AAC4-DA4C01F4CDE9}" name="奖励内容"/>
    <tableColumn id="4" xr3:uid="{AA3D138A-B04B-4B10-AE5F-F3A3AF44098D}" name="分享图片,注意带后缀且与服务器上一致"/>
    <tableColumn id="5" xr3:uid="{B88E3A87-83B3-4E18-AAC1-563ADCA3144C}" name="分享文本"/>
  </tableColumns>
  <tableStyleInfo name="TableStyleMedium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表3" displayName="表3" ref="A3:J11" totalsRowShown="0">
  <autoFilter ref="A3:J11" xr:uid="{00000000-0009-0000-0100-000003000000}"/>
  <tableColumns count="10">
    <tableColumn id="1" xr3:uid="{00000000-0010-0000-0100-000001000000}" name="任务ID"/>
    <tableColumn id="2" xr3:uid="{00000000-0010-0000-0100-000002000000}" name="任务名称"/>
    <tableColumn id="3" xr3:uid="{00000000-0010-0000-0100-000003000000}" name="任务类型"/>
    <tableColumn id="4" xr3:uid="{00000000-0010-0000-0100-000004000000}" name="任务参数1"/>
    <tableColumn id="5" xr3:uid="{00000000-0010-0000-0100-000005000000}" name="参数2"/>
    <tableColumn id="6" xr3:uid="{00000000-0010-0000-0100-000006000000}" name="分享奖励"/>
    <tableColumn id="7" xr3:uid="{00000000-0010-0000-0100-000007000000}" name="重复类型"/>
    <tableColumn id="8" xr3:uid="{00000000-0010-0000-0100-000008000000}" name="分享图片,注意带后缀且与服务器上一致"/>
    <tableColumn id="9" xr3:uid="{00000000-0010-0000-0100-000009000000}" name="分享文本"/>
    <tableColumn id="10" xr3:uid="{00000000-0010-0000-0100-00000A000000}" name="备注">
      <calculatedColumnFormula>VLOOKUP(表3[[#This Row],[任务名称]],[1]!表1[#Data],2,FALSE)</calculatedColumnFormula>
    </tableColumn>
  </tableColumns>
  <tableStyleInfo name="TableStyleMedium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F4CFCE-6853-4BF9-A8E8-5A29E5EF90EA}" name="表3_6" displayName="表3_6" ref="A3:D4" totalsRowShown="0">
  <autoFilter ref="A3:D4" xr:uid="{00000000-0009-0000-0100-000003000000}"/>
  <tableColumns count="4">
    <tableColumn id="1" xr3:uid="{82ADA372-8604-43BB-9426-0B0B10AD8204}" name="任务ID"/>
    <tableColumn id="6" xr3:uid="{CAEED2E8-544A-462F-B5AB-9F7DF67FF47F}" name="分享奖励"/>
    <tableColumn id="8" xr3:uid="{C5EFE77A-C8FA-40E5-A1E0-35B80567C1E9}" name="分享图片,注意带后缀且与服务器上一致"/>
    <tableColumn id="9" xr3:uid="{680D1083-4C71-4C0A-B1B2-8D849FFE2587}" name="分享文本"/>
  </tableColumns>
  <tableStyleInfo name="TableStyleMedium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表3_23" displayName="表3_23" ref="A3:E6" totalsRowShown="0">
  <autoFilter ref="A3:E6" xr:uid="{00000000-0009-0000-0100-000002000000}"/>
  <tableColumns count="5">
    <tableColumn id="1" xr3:uid="{00000000-0010-0000-0200-000001000000}" name="id"/>
    <tableColumn id="4" xr3:uid="{00000000-0010-0000-0200-000004000000}" name="类型名称"/>
    <tableColumn id="3" xr3:uid="{00000000-0010-0000-0200-000003000000}" name="奖励内容"/>
    <tableColumn id="2" xr3:uid="{0894159D-D1B3-4B37-9557-C9406382A21A}" name="购买价格"/>
    <tableColumn id="5" xr3:uid="{8988F574-1154-47FB-8195-64578C92B5B5}" name="是否公告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32" sqref="A32:B32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1" t="s">
        <v>0</v>
      </c>
      <c r="B1" t="s">
        <v>1</v>
      </c>
    </row>
    <row r="2" spans="1:2" ht="16.5" x14ac:dyDescent="0.15">
      <c r="A2" s="10" t="s">
        <v>2</v>
      </c>
      <c r="B2" t="s">
        <v>3</v>
      </c>
    </row>
    <row r="3" spans="1:2" ht="16.5" x14ac:dyDescent="0.3">
      <c r="A3" s="11" t="s">
        <v>4</v>
      </c>
      <c r="B3" t="s">
        <v>5</v>
      </c>
    </row>
    <row r="4" spans="1:2" ht="16.5" x14ac:dyDescent="0.15">
      <c r="A4" s="12" t="s">
        <v>6</v>
      </c>
      <c r="B4" t="s">
        <v>7</v>
      </c>
    </row>
    <row r="6" spans="1:2" x14ac:dyDescent="0.15">
      <c r="A6" s="16" t="s">
        <v>8</v>
      </c>
      <c r="B6" s="17"/>
    </row>
    <row r="7" spans="1:2" x14ac:dyDescent="0.15">
      <c r="A7" s="17"/>
      <c r="B7" s="17"/>
    </row>
    <row r="8" spans="1:2" x14ac:dyDescent="0.15">
      <c r="A8" s="17"/>
      <c r="B8" s="17"/>
    </row>
    <row r="9" spans="1:2" x14ac:dyDescent="0.15">
      <c r="A9" s="17"/>
      <c r="B9" s="17"/>
    </row>
    <row r="10" spans="1:2" x14ac:dyDescent="0.15">
      <c r="A10" s="17"/>
      <c r="B10" s="17"/>
    </row>
    <row r="11" spans="1:2" x14ac:dyDescent="0.15">
      <c r="A11" s="17"/>
      <c r="B11" s="17"/>
    </row>
    <row r="12" spans="1:2" x14ac:dyDescent="0.15">
      <c r="A12" s="17"/>
      <c r="B12" s="17"/>
    </row>
    <row r="13" spans="1:2" x14ac:dyDescent="0.15">
      <c r="A13" s="17"/>
      <c r="B13" s="17"/>
    </row>
    <row r="14" spans="1:2" x14ac:dyDescent="0.15">
      <c r="A14" s="17"/>
      <c r="B14" s="17"/>
    </row>
    <row r="15" spans="1:2" x14ac:dyDescent="0.15">
      <c r="A15" s="17"/>
      <c r="B15" s="17"/>
    </row>
    <row r="16" spans="1:2" ht="13.15" customHeight="1" x14ac:dyDescent="0.15">
      <c r="A16" s="17"/>
      <c r="B16" s="17"/>
    </row>
    <row r="17" spans="1:2" ht="4.1500000000000004" customHeight="1" x14ac:dyDescent="0.15">
      <c r="A17" s="17"/>
      <c r="B17" s="17"/>
    </row>
    <row r="18" spans="1:2" hidden="1" x14ac:dyDescent="0.15">
      <c r="A18" s="17"/>
      <c r="B18" s="17"/>
    </row>
    <row r="19" spans="1:2" hidden="1" x14ac:dyDescent="0.15">
      <c r="A19" s="17"/>
      <c r="B19" s="17"/>
    </row>
    <row r="20" spans="1:2" hidden="1" x14ac:dyDescent="0.15">
      <c r="A20" s="17"/>
      <c r="B20" s="17"/>
    </row>
    <row r="21" spans="1:2" ht="22.9" customHeight="1" x14ac:dyDescent="0.15">
      <c r="A21" s="17"/>
      <c r="B21" s="17"/>
    </row>
    <row r="22" spans="1:2" ht="45" customHeight="1" x14ac:dyDescent="0.15">
      <c r="A22" s="17"/>
      <c r="B22" s="17"/>
    </row>
    <row r="23" spans="1:2" ht="51" hidden="1" customHeight="1" x14ac:dyDescent="0.15">
      <c r="A23" s="17"/>
      <c r="B23" s="17"/>
    </row>
    <row r="24" spans="1:2" x14ac:dyDescent="0.15">
      <c r="A24" s="15" t="s">
        <v>9</v>
      </c>
      <c r="B24" s="15"/>
    </row>
    <row r="25" spans="1:2" x14ac:dyDescent="0.15">
      <c r="A25" s="15" t="s">
        <v>10</v>
      </c>
      <c r="B25" s="15"/>
    </row>
    <row r="26" spans="1:2" x14ac:dyDescent="0.15">
      <c r="A26" s="15" t="s">
        <v>11</v>
      </c>
      <c r="B26" s="15"/>
    </row>
    <row r="27" spans="1:2" x14ac:dyDescent="0.15">
      <c r="A27" s="15"/>
      <c r="B27" s="15"/>
    </row>
    <row r="28" spans="1:2" x14ac:dyDescent="0.15">
      <c r="A28" s="15"/>
      <c r="B28" s="15"/>
    </row>
    <row r="29" spans="1:2" x14ac:dyDescent="0.15">
      <c r="A29" s="15"/>
      <c r="B29" s="15"/>
    </row>
    <row r="30" spans="1:2" x14ac:dyDescent="0.15">
      <c r="A30" s="15"/>
      <c r="B30" s="15"/>
    </row>
    <row r="31" spans="1:2" x14ac:dyDescent="0.15">
      <c r="A31" s="15"/>
      <c r="B31" s="15"/>
    </row>
    <row r="32" spans="1:2" x14ac:dyDescent="0.15">
      <c r="A32" s="15"/>
      <c r="B32" s="15"/>
    </row>
    <row r="33" spans="1:2" x14ac:dyDescent="0.15">
      <c r="A33" s="15"/>
      <c r="B33" s="15"/>
    </row>
    <row r="34" spans="1:2" x14ac:dyDescent="0.15">
      <c r="A34" s="15"/>
      <c r="B34" s="15"/>
    </row>
    <row r="35" spans="1:2" x14ac:dyDescent="0.15">
      <c r="A35" s="15"/>
      <c r="B35" s="15"/>
    </row>
    <row r="36" spans="1:2" x14ac:dyDescent="0.15">
      <c r="A36" s="15"/>
      <c r="B36" s="15"/>
    </row>
    <row r="37" spans="1:2" x14ac:dyDescent="0.15">
      <c r="A37" s="15"/>
      <c r="B37" s="15"/>
    </row>
    <row r="38" spans="1:2" x14ac:dyDescent="0.15">
      <c r="A38" s="15"/>
      <c r="B38" s="15"/>
    </row>
    <row r="39" spans="1:2" x14ac:dyDescent="0.15">
      <c r="A39" s="15"/>
      <c r="B39" s="15"/>
    </row>
    <row r="40" spans="1:2" x14ac:dyDescent="0.15">
      <c r="A40" s="15"/>
      <c r="B40" s="15"/>
    </row>
    <row r="41" spans="1:2" x14ac:dyDescent="0.15">
      <c r="A41" s="15"/>
      <c r="B41" s="15"/>
    </row>
    <row r="42" spans="1:2" x14ac:dyDescent="0.15">
      <c r="A42" s="15"/>
      <c r="B42" s="15"/>
    </row>
    <row r="43" spans="1:2" x14ac:dyDescent="0.15">
      <c r="A43" s="15"/>
      <c r="B43" s="15"/>
    </row>
    <row r="44" spans="1:2" x14ac:dyDescent="0.15">
      <c r="A44" s="15"/>
      <c r="B44" s="15"/>
    </row>
    <row r="45" spans="1:2" x14ac:dyDescent="0.15">
      <c r="A45" s="15"/>
      <c r="B45" s="15"/>
    </row>
  </sheetData>
  <mergeCells count="23"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5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2"/>
  <sheetViews>
    <sheetView workbookViewId="0">
      <pane xSplit="1" ySplit="3" topLeftCell="B4" activePane="bottomRight" state="frozenSplit"/>
      <selection pane="topRight"/>
      <selection pane="bottomLeft"/>
      <selection pane="bottomRight" activeCell="C10" sqref="C10"/>
    </sheetView>
  </sheetViews>
  <sheetFormatPr defaultColWidth="9" defaultRowHeight="13.5" x14ac:dyDescent="0.15"/>
  <cols>
    <col min="1" max="1" width="9" customWidth="1"/>
    <col min="2" max="2" width="10.5" customWidth="1"/>
    <col min="3" max="3" width="48.25" bestFit="1" customWidth="1"/>
    <col min="4" max="4" width="54.375" customWidth="1"/>
    <col min="5" max="5" width="33.875" customWidth="1"/>
  </cols>
  <sheetData>
    <row r="1" spans="1:5" ht="16.5" x14ac:dyDescent="0.3">
      <c r="A1" s="8" t="s">
        <v>12</v>
      </c>
      <c r="B1" s="1" t="s">
        <v>13</v>
      </c>
      <c r="C1" s="1" t="s">
        <v>14</v>
      </c>
      <c r="D1" s="1" t="s">
        <v>15</v>
      </c>
      <c r="E1" s="1" t="s">
        <v>16</v>
      </c>
    </row>
    <row r="2" spans="1:5" ht="16.5" x14ac:dyDescent="0.15">
      <c r="A2" s="9" t="s">
        <v>17</v>
      </c>
      <c r="B2" s="3" t="s">
        <v>17</v>
      </c>
      <c r="C2" s="3" t="s">
        <v>18</v>
      </c>
      <c r="D2" s="3" t="s">
        <v>18</v>
      </c>
      <c r="E2" s="3" t="s">
        <v>18</v>
      </c>
    </row>
    <row r="3" spans="1:5" x14ac:dyDescent="0.15">
      <c r="A3" s="5" t="s">
        <v>12</v>
      </c>
      <c r="B3" s="5" t="s">
        <v>19</v>
      </c>
      <c r="C3" s="5" t="s">
        <v>20</v>
      </c>
      <c r="D3" s="5" t="s">
        <v>21</v>
      </c>
      <c r="E3" s="5" t="s">
        <v>22</v>
      </c>
    </row>
    <row r="4" spans="1:5" x14ac:dyDescent="0.15">
      <c r="A4">
        <v>1</v>
      </c>
      <c r="B4">
        <v>1</v>
      </c>
      <c r="C4" s="7" t="s">
        <v>69</v>
      </c>
      <c r="D4" s="6" t="s">
        <v>47</v>
      </c>
      <c r="E4" s="6" t="s">
        <v>24</v>
      </c>
    </row>
    <row r="5" spans="1:5" x14ac:dyDescent="0.15">
      <c r="A5">
        <v>2</v>
      </c>
      <c r="B5">
        <v>2</v>
      </c>
      <c r="C5" s="7" t="s">
        <v>70</v>
      </c>
      <c r="D5" s="6" t="s">
        <v>47</v>
      </c>
      <c r="E5" s="6" t="s">
        <v>24</v>
      </c>
    </row>
    <row r="6" spans="1:5" x14ac:dyDescent="0.15">
      <c r="A6">
        <v>3</v>
      </c>
      <c r="B6">
        <v>4</v>
      </c>
      <c r="C6" s="7" t="s">
        <v>71</v>
      </c>
      <c r="D6" s="6" t="s">
        <v>47</v>
      </c>
      <c r="E6" s="6" t="s">
        <v>24</v>
      </c>
    </row>
    <row r="7" spans="1:5" x14ac:dyDescent="0.15">
      <c r="A7">
        <v>4</v>
      </c>
      <c r="B7">
        <v>6</v>
      </c>
      <c r="C7" s="7" t="s">
        <v>72</v>
      </c>
      <c r="D7" s="6" t="s">
        <v>47</v>
      </c>
      <c r="E7" s="6" t="s">
        <v>24</v>
      </c>
    </row>
    <row r="8" spans="1:5" x14ac:dyDescent="0.15">
      <c r="A8">
        <v>5</v>
      </c>
      <c r="B8">
        <v>10</v>
      </c>
      <c r="C8" s="7" t="s">
        <v>73</v>
      </c>
      <c r="D8" s="6" t="s">
        <v>47</v>
      </c>
      <c r="E8" s="6" t="s">
        <v>24</v>
      </c>
    </row>
    <row r="9" spans="1:5" x14ac:dyDescent="0.15">
      <c r="A9">
        <v>7</v>
      </c>
      <c r="B9">
        <v>15</v>
      </c>
      <c r="C9" s="7" t="s">
        <v>74</v>
      </c>
      <c r="D9" s="6" t="s">
        <v>47</v>
      </c>
      <c r="E9" s="6" t="s">
        <v>24</v>
      </c>
    </row>
    <row r="10" spans="1:5" x14ac:dyDescent="0.15">
      <c r="A10">
        <v>8</v>
      </c>
      <c r="B10">
        <v>20</v>
      </c>
      <c r="C10" s="7" t="s">
        <v>75</v>
      </c>
      <c r="D10" s="6" t="s">
        <v>47</v>
      </c>
      <c r="E10" s="6" t="s">
        <v>24</v>
      </c>
    </row>
    <row r="11" spans="1:5" x14ac:dyDescent="0.15">
      <c r="A11">
        <v>9</v>
      </c>
      <c r="B11">
        <v>30</v>
      </c>
      <c r="C11" s="7" t="s">
        <v>76</v>
      </c>
      <c r="D11" s="6" t="s">
        <v>47</v>
      </c>
      <c r="E11" s="6" t="s">
        <v>24</v>
      </c>
    </row>
    <row r="12" spans="1:5" x14ac:dyDescent="0.15">
      <c r="A12">
        <v>10</v>
      </c>
      <c r="B12">
        <v>50</v>
      </c>
      <c r="C12" s="7" t="s">
        <v>77</v>
      </c>
      <c r="D12" s="6" t="s">
        <v>47</v>
      </c>
      <c r="E12" s="6" t="s">
        <v>24</v>
      </c>
    </row>
  </sheetData>
  <phoneticPr fontId="5" type="noConversion"/>
  <pageMargins left="0.69930555555555596" right="0.69930555555555596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14F2B-5BA1-4C79-BB45-085D125A2987}">
  <sheetPr codeName="Sheet5"/>
  <dimension ref="A1:E4"/>
  <sheetViews>
    <sheetView workbookViewId="0">
      <pane xSplit="1" ySplit="3" topLeftCell="B4" activePane="bottomRight" state="frozenSplit"/>
      <selection pane="topRight"/>
      <selection pane="bottomLeft"/>
      <selection pane="bottomRight" activeCell="C6" sqref="C6"/>
    </sheetView>
  </sheetViews>
  <sheetFormatPr defaultColWidth="9" defaultRowHeight="13.5" x14ac:dyDescent="0.15"/>
  <cols>
    <col min="1" max="1" width="9" customWidth="1"/>
    <col min="2" max="2" width="10.5" customWidth="1"/>
    <col min="3" max="3" width="48.25" bestFit="1" customWidth="1"/>
    <col min="4" max="4" width="54.375" customWidth="1"/>
    <col min="5" max="5" width="33.875" customWidth="1"/>
  </cols>
  <sheetData>
    <row r="1" spans="1:5" ht="16.5" x14ac:dyDescent="0.3">
      <c r="A1" s="8" t="s">
        <v>12</v>
      </c>
      <c r="B1" s="1" t="s">
        <v>13</v>
      </c>
      <c r="C1" s="1" t="s">
        <v>14</v>
      </c>
      <c r="D1" s="1" t="s">
        <v>15</v>
      </c>
      <c r="E1" s="1" t="s">
        <v>16</v>
      </c>
    </row>
    <row r="2" spans="1:5" ht="16.5" x14ac:dyDescent="0.15">
      <c r="A2" s="9" t="s">
        <v>17</v>
      </c>
      <c r="B2" s="3" t="s">
        <v>17</v>
      </c>
      <c r="C2" s="3" t="s">
        <v>18</v>
      </c>
      <c r="D2" s="3" t="s">
        <v>18</v>
      </c>
      <c r="E2" s="3" t="s">
        <v>18</v>
      </c>
    </row>
    <row r="3" spans="1:5" x14ac:dyDescent="0.15">
      <c r="A3" s="5" t="s">
        <v>12</v>
      </c>
      <c r="B3" s="5" t="s">
        <v>19</v>
      </c>
      <c r="C3" s="5" t="s">
        <v>20</v>
      </c>
      <c r="D3" s="5" t="s">
        <v>21</v>
      </c>
      <c r="E3" s="5" t="s">
        <v>22</v>
      </c>
    </row>
    <row r="4" spans="1:5" x14ac:dyDescent="0.15">
      <c r="A4" s="5">
        <v>1</v>
      </c>
      <c r="B4" s="5">
        <v>1</v>
      </c>
      <c r="C4" s="7" t="s">
        <v>78</v>
      </c>
      <c r="D4" s="6" t="s">
        <v>47</v>
      </c>
      <c r="E4" s="6" t="s">
        <v>24</v>
      </c>
    </row>
  </sheetData>
  <phoneticPr fontId="5" type="noConversion"/>
  <pageMargins left="0.69930555555555596" right="0.69930555555555596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11"/>
  <sheetViews>
    <sheetView workbookViewId="0">
      <selection activeCell="F10" sqref="F10:F11"/>
    </sheetView>
  </sheetViews>
  <sheetFormatPr defaultColWidth="9" defaultRowHeight="13.5" x14ac:dyDescent="0.15"/>
  <cols>
    <col min="1" max="1" width="9" customWidth="1"/>
    <col min="2" max="2" width="11.75" customWidth="1"/>
    <col min="3" max="3" width="10.5" customWidth="1"/>
    <col min="4" max="4" width="17.125" customWidth="1"/>
    <col min="5" max="5" width="13" customWidth="1"/>
    <col min="6" max="6" width="41.625" customWidth="1"/>
    <col min="7" max="7" width="10.5" customWidth="1"/>
    <col min="8" max="8" width="54.375" customWidth="1"/>
    <col min="9" max="9" width="55.5" bestFit="1" customWidth="1"/>
    <col min="10" max="10" width="21.375" customWidth="1"/>
  </cols>
  <sheetData>
    <row r="1" spans="1:10" ht="16.5" x14ac:dyDescent="0.3">
      <c r="A1" s="1" t="s">
        <v>12</v>
      </c>
      <c r="B1" s="2" t="s">
        <v>25</v>
      </c>
      <c r="C1" s="1" t="s">
        <v>26</v>
      </c>
      <c r="D1" s="1" t="s">
        <v>27</v>
      </c>
      <c r="E1" s="1" t="s">
        <v>28</v>
      </c>
      <c r="F1" s="1" t="s">
        <v>14</v>
      </c>
      <c r="G1" s="1" t="s">
        <v>29</v>
      </c>
      <c r="H1" s="1" t="s">
        <v>15</v>
      </c>
      <c r="I1" s="1" t="s">
        <v>16</v>
      </c>
    </row>
    <row r="2" spans="1:10" ht="16.5" x14ac:dyDescent="0.15">
      <c r="A2" s="3" t="s">
        <v>17</v>
      </c>
      <c r="B2" s="4" t="s">
        <v>30</v>
      </c>
      <c r="C2" s="3" t="s">
        <v>17</v>
      </c>
      <c r="D2" s="3" t="s">
        <v>17</v>
      </c>
      <c r="E2" s="3" t="s">
        <v>17</v>
      </c>
      <c r="F2" s="3" t="s">
        <v>18</v>
      </c>
      <c r="G2" s="3" t="s">
        <v>17</v>
      </c>
      <c r="H2" s="3" t="s">
        <v>18</v>
      </c>
      <c r="I2" s="3" t="s">
        <v>18</v>
      </c>
    </row>
    <row r="3" spans="1:10" x14ac:dyDescent="0.15">
      <c r="A3" s="5" t="s">
        <v>31</v>
      </c>
      <c r="B3" s="5" t="s">
        <v>32</v>
      </c>
      <c r="C3" s="5" t="s">
        <v>33</v>
      </c>
      <c r="D3" s="5" t="s">
        <v>34</v>
      </c>
      <c r="E3" s="5" t="s">
        <v>35</v>
      </c>
      <c r="F3" s="5" t="s">
        <v>36</v>
      </c>
      <c r="G3" s="5" t="s">
        <v>37</v>
      </c>
      <c r="H3" s="5" t="s">
        <v>21</v>
      </c>
      <c r="I3" s="5" t="s">
        <v>22</v>
      </c>
      <c r="J3" s="5" t="s">
        <v>38</v>
      </c>
    </row>
    <row r="4" spans="1:10" x14ac:dyDescent="0.15">
      <c r="A4" s="6">
        <v>101</v>
      </c>
      <c r="B4" s="6" t="s">
        <v>39</v>
      </c>
      <c r="C4" s="6">
        <v>13</v>
      </c>
      <c r="D4" s="6">
        <v>0</v>
      </c>
      <c r="E4" s="6">
        <v>1</v>
      </c>
      <c r="F4" s="7" t="s">
        <v>79</v>
      </c>
      <c r="G4" s="6">
        <v>1</v>
      </c>
      <c r="H4" s="6" t="s">
        <v>23</v>
      </c>
      <c r="I4" s="6" t="s">
        <v>48</v>
      </c>
      <c r="J4" s="6" t="str">
        <f>VLOOKUP(表3[[#This Row],[任务名称]],[1]!表1[#Data],2,FALSE)</f>
        <v>每日分享一次赢好礼</v>
      </c>
    </row>
    <row r="5" spans="1:10" x14ac:dyDescent="0.15">
      <c r="A5" s="6">
        <v>102</v>
      </c>
      <c r="B5" s="6" t="s">
        <v>40</v>
      </c>
      <c r="C5" s="6">
        <v>4</v>
      </c>
      <c r="D5" s="6">
        <v>0</v>
      </c>
      <c r="E5" s="6">
        <v>1200</v>
      </c>
      <c r="F5" s="7" t="s">
        <v>80</v>
      </c>
      <c r="G5" s="6">
        <v>0</v>
      </c>
      <c r="H5" s="6" t="s">
        <v>23</v>
      </c>
      <c r="I5" s="6" t="s">
        <v>48</v>
      </c>
      <c r="J5" s="6" t="str">
        <f>VLOOKUP(表3[[#This Row],[任务名称]],[1]!表1[#Data],2,FALSE)</f>
        <v>武器升级至1200倍</v>
      </c>
    </row>
    <row r="6" spans="1:10" x14ac:dyDescent="0.15">
      <c r="A6" s="6">
        <v>103</v>
      </c>
      <c r="B6" s="6" t="s">
        <v>41</v>
      </c>
      <c r="C6" s="6">
        <v>6</v>
      </c>
      <c r="D6" s="6">
        <v>0</v>
      </c>
      <c r="E6" s="6">
        <v>5</v>
      </c>
      <c r="F6" s="7" t="s">
        <v>81</v>
      </c>
      <c r="G6" s="6">
        <v>0</v>
      </c>
      <c r="H6" s="6" t="s">
        <v>23</v>
      </c>
      <c r="I6" s="6" t="s">
        <v>48</v>
      </c>
      <c r="J6" s="6" t="str">
        <f>VLOOKUP(表3[[#This Row],[任务名称]],[1]!表1[#Data],2,FALSE)</f>
        <v>获得5个武器皮肤</v>
      </c>
    </row>
    <row r="7" spans="1:10" x14ac:dyDescent="0.15">
      <c r="A7" s="6">
        <v>104</v>
      </c>
      <c r="B7" s="6" t="s">
        <v>42</v>
      </c>
      <c r="C7" s="6">
        <v>22</v>
      </c>
      <c r="D7" s="6">
        <v>0</v>
      </c>
      <c r="E7" s="6">
        <v>60</v>
      </c>
      <c r="F7" s="7" t="s">
        <v>82</v>
      </c>
      <c r="G7" s="6">
        <v>0</v>
      </c>
      <c r="H7" s="6" t="s">
        <v>23</v>
      </c>
      <c r="I7" s="6" t="s">
        <v>48</v>
      </c>
      <c r="J7" s="6" t="str">
        <f>VLOOKUP(表3[[#This Row],[任务名称]],[1]!表1[#Data],2,FALSE)</f>
        <v>保卫女神闯过60关</v>
      </c>
    </row>
    <row r="8" spans="1:10" x14ac:dyDescent="0.15">
      <c r="A8" s="6">
        <v>105</v>
      </c>
      <c r="B8" s="6" t="s">
        <v>43</v>
      </c>
      <c r="C8" s="6">
        <v>15</v>
      </c>
      <c r="D8" s="6">
        <v>0</v>
      </c>
      <c r="E8" s="6">
        <v>1</v>
      </c>
      <c r="F8" s="7" t="s">
        <v>83</v>
      </c>
      <c r="G8" s="6">
        <v>0</v>
      </c>
      <c r="H8" s="6" t="s">
        <v>23</v>
      </c>
      <c r="I8" s="6" t="s">
        <v>48</v>
      </c>
      <c r="J8" s="6" t="str">
        <f>VLOOKUP(表3[[#This Row],[任务名称]],[1]!表1[#Data],2,FALSE)</f>
        <v>成为VIP</v>
      </c>
    </row>
    <row r="9" spans="1:10" x14ac:dyDescent="0.15">
      <c r="A9" s="6">
        <v>106</v>
      </c>
      <c r="B9" s="6" t="s">
        <v>44</v>
      </c>
      <c r="C9" s="6">
        <v>26</v>
      </c>
      <c r="D9" s="6">
        <v>5000000</v>
      </c>
      <c r="E9" s="6">
        <v>1</v>
      </c>
      <c r="F9" s="7" t="s">
        <v>84</v>
      </c>
      <c r="G9" s="6">
        <v>0</v>
      </c>
      <c r="H9" s="6" t="s">
        <v>23</v>
      </c>
      <c r="I9" s="6" t="s">
        <v>48</v>
      </c>
      <c r="J9" s="6" t="str">
        <f>VLOOKUP(表3[[#This Row],[任务名称]],[1]!表1[#Data],2,FALSE)</f>
        <v>成为首富且金币不低于500万</v>
      </c>
    </row>
    <row r="10" spans="1:10" x14ac:dyDescent="0.15">
      <c r="A10" s="6">
        <v>107</v>
      </c>
      <c r="B10" s="6" t="s">
        <v>45</v>
      </c>
      <c r="C10" s="6">
        <v>27</v>
      </c>
      <c r="D10" s="6">
        <v>27</v>
      </c>
      <c r="E10" s="6">
        <v>1</v>
      </c>
      <c r="F10" s="7" t="s">
        <v>85</v>
      </c>
      <c r="G10" s="6">
        <v>0</v>
      </c>
      <c r="H10" s="6" t="s">
        <v>23</v>
      </c>
      <c r="I10" s="6" t="s">
        <v>48</v>
      </c>
      <c r="J10" s="6" t="str">
        <f>VLOOKUP(表3[[#This Row],[任务名称]],[1]!表1[#Data],2,FALSE)</f>
        <v>排位赛获得最强王者段位</v>
      </c>
    </row>
    <row r="11" spans="1:10" x14ac:dyDescent="0.15">
      <c r="A11" s="6">
        <v>108</v>
      </c>
      <c r="B11" s="6" t="s">
        <v>46</v>
      </c>
      <c r="C11" s="6">
        <v>3</v>
      </c>
      <c r="D11" s="6">
        <v>0</v>
      </c>
      <c r="E11" s="6">
        <v>50</v>
      </c>
      <c r="F11" s="7" t="s">
        <v>85</v>
      </c>
      <c r="G11" s="6">
        <v>0</v>
      </c>
      <c r="H11" s="6" t="s">
        <v>23</v>
      </c>
      <c r="I11" s="6" t="s">
        <v>48</v>
      </c>
      <c r="J11" s="6" t="str">
        <f>VLOOKUP(表3[[#This Row],[任务名称]],[1]!表1[#Data],2,FALSE)</f>
        <v>角色等级达到50级</v>
      </c>
    </row>
  </sheetData>
  <phoneticPr fontId="5" type="noConversion"/>
  <dataValidations count="1">
    <dataValidation allowBlank="1" showInputMessage="1" showErrorMessage="1" prompt="0 不重置_x000a_1 每日重置_x000a_2 每周重置" sqref="G3" xr:uid="{00000000-0002-0000-0200-000000000000}"/>
  </dataValidations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9F290-46AF-4917-87CB-33A36E19D936}">
  <sheetPr codeName="Sheet6"/>
  <dimension ref="A1:D4"/>
  <sheetViews>
    <sheetView workbookViewId="0">
      <selection activeCell="B4" sqref="B4"/>
    </sheetView>
  </sheetViews>
  <sheetFormatPr defaultColWidth="9" defaultRowHeight="13.5" x14ac:dyDescent="0.15"/>
  <cols>
    <col min="1" max="1" width="9" customWidth="1"/>
    <col min="2" max="2" width="41.625" customWidth="1"/>
    <col min="3" max="3" width="54.375" customWidth="1"/>
    <col min="4" max="4" width="55.5" bestFit="1" customWidth="1"/>
  </cols>
  <sheetData>
    <row r="1" spans="1:4" ht="16.5" x14ac:dyDescent="0.3">
      <c r="A1" s="1" t="s">
        <v>12</v>
      </c>
      <c r="B1" s="1" t="s">
        <v>14</v>
      </c>
      <c r="C1" s="1" t="s">
        <v>67</v>
      </c>
      <c r="D1" s="1" t="s">
        <v>16</v>
      </c>
    </row>
    <row r="2" spans="1:4" ht="16.5" x14ac:dyDescent="0.15">
      <c r="A2" s="3" t="s">
        <v>17</v>
      </c>
      <c r="B2" s="3" t="s">
        <v>18</v>
      </c>
      <c r="C2" s="3" t="s">
        <v>18</v>
      </c>
      <c r="D2" s="3" t="s">
        <v>18</v>
      </c>
    </row>
    <row r="3" spans="1:4" x14ac:dyDescent="0.15">
      <c r="A3" s="5" t="s">
        <v>31</v>
      </c>
      <c r="B3" s="5" t="s">
        <v>36</v>
      </c>
      <c r="C3" s="5" t="s">
        <v>21</v>
      </c>
      <c r="D3" s="5" t="s">
        <v>22</v>
      </c>
    </row>
    <row r="4" spans="1:4" x14ac:dyDescent="0.15">
      <c r="A4" s="6">
        <v>1</v>
      </c>
      <c r="B4" s="7" t="s">
        <v>68</v>
      </c>
      <c r="C4" s="6" t="s">
        <v>23</v>
      </c>
      <c r="D4" s="6" t="s">
        <v>48</v>
      </c>
    </row>
  </sheetData>
  <phoneticPr fontId="5" type="noConversion"/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6"/>
  <sheetViews>
    <sheetView tabSelected="1" workbookViewId="0">
      <pane xSplit="1" ySplit="3" topLeftCell="B4" activePane="bottomRight" state="frozenSplit"/>
      <selection pane="topRight"/>
      <selection pane="bottomLeft"/>
      <selection pane="bottomRight" activeCell="D6" sqref="D6"/>
    </sheetView>
  </sheetViews>
  <sheetFormatPr defaultColWidth="9" defaultRowHeight="13.5" x14ac:dyDescent="0.15"/>
  <cols>
    <col min="1" max="1" width="9" customWidth="1"/>
    <col min="2" max="2" width="16.125" bestFit="1" customWidth="1"/>
    <col min="3" max="3" width="48.25" bestFit="1" customWidth="1"/>
    <col min="4" max="4" width="13.875" bestFit="1" customWidth="1"/>
    <col min="5" max="5" width="10.375" customWidth="1"/>
  </cols>
  <sheetData>
    <row r="1" spans="1:5" ht="16.5" x14ac:dyDescent="0.3">
      <c r="A1" s="8" t="s">
        <v>12</v>
      </c>
      <c r="B1" s="1" t="s">
        <v>55</v>
      </c>
      <c r="C1" s="1" t="s">
        <v>14</v>
      </c>
      <c r="D1" s="1" t="s">
        <v>58</v>
      </c>
      <c r="E1" s="13" t="s">
        <v>61</v>
      </c>
    </row>
    <row r="2" spans="1:5" ht="16.5" x14ac:dyDescent="0.15">
      <c r="A2" s="9" t="s">
        <v>17</v>
      </c>
      <c r="B2" s="3" t="s">
        <v>56</v>
      </c>
      <c r="C2" s="3" t="s">
        <v>18</v>
      </c>
      <c r="D2" s="3" t="s">
        <v>59</v>
      </c>
      <c r="E2" s="14" t="s">
        <v>62</v>
      </c>
    </row>
    <row r="3" spans="1:5" x14ac:dyDescent="0.15">
      <c r="A3" s="5" t="s">
        <v>12</v>
      </c>
      <c r="B3" s="5" t="s">
        <v>49</v>
      </c>
      <c r="C3" s="5" t="s">
        <v>20</v>
      </c>
      <c r="D3" s="7" t="s">
        <v>60</v>
      </c>
      <c r="E3" s="7" t="s">
        <v>63</v>
      </c>
    </row>
    <row r="4" spans="1:5" x14ac:dyDescent="0.15">
      <c r="A4">
        <v>1</v>
      </c>
      <c r="B4" s="7" t="s">
        <v>52</v>
      </c>
      <c r="C4" s="7" t="s">
        <v>57</v>
      </c>
      <c r="D4" s="7" t="s">
        <v>86</v>
      </c>
      <c r="E4" s="7" t="s">
        <v>64</v>
      </c>
    </row>
    <row r="5" spans="1:5" x14ac:dyDescent="0.15">
      <c r="A5">
        <v>2</v>
      </c>
      <c r="B5" s="7" t="s">
        <v>53</v>
      </c>
      <c r="C5" s="7" t="s">
        <v>50</v>
      </c>
      <c r="D5" s="7" t="s">
        <v>87</v>
      </c>
      <c r="E5" s="7" t="s">
        <v>65</v>
      </c>
    </row>
    <row r="6" spans="1:5" x14ac:dyDescent="0.15">
      <c r="A6">
        <v>3</v>
      </c>
      <c r="B6" s="7" t="s">
        <v>54</v>
      </c>
      <c r="C6" s="7" t="s">
        <v>51</v>
      </c>
      <c r="D6" s="7" t="s">
        <v>88</v>
      </c>
      <c r="E6" s="7" t="s">
        <v>66</v>
      </c>
    </row>
  </sheetData>
  <phoneticPr fontId="5" type="noConversion"/>
  <pageMargins left="0.69930555555555596" right="0.69930555555555596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description</vt:lpstr>
      <vt:lpstr>friend_cfg</vt:lpstr>
      <vt:lpstr>friendfirst_cfg</vt:lpstr>
      <vt:lpstr>share_cfg</vt:lpstr>
      <vt:lpstr>sharefirst_cfg</vt:lpstr>
      <vt:lpstr>guerdon_cfg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2017-12-08T02:04:26Z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2052-10.1.0.6490</vt:lpwstr>
  </property>
</Properties>
</file>