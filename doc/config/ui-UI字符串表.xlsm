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13905" windowHeight="13350" activeTab="1" xr2:uid="{00000000-000D-0000-FFFF-FFFF00000000}"/>
  </bookViews>
  <sheets>
    <sheet name="description" sheetId="1" r:id="rId1"/>
    <sheet name="string" sheetId="2" r:id="rId2"/>
  </sheets>
  <functionGroups builtInGroupCount="19"/>
  <externalReferences>
    <externalReference r:id="rId3"/>
  </externalReferences>
  <calcPr calcId="171027"/>
</workbook>
</file>

<file path=xl/calcChain.xml><?xml version="1.0" encoding="utf-8"?>
<calcChain xmlns="http://schemas.openxmlformats.org/spreadsheetml/2006/main">
  <c r="D169" i="2" l="1"/>
  <c r="D170" i="2"/>
  <c r="C169" i="2"/>
  <c r="C170" i="2"/>
  <c r="D167" i="2" l="1"/>
  <c r="D168" i="2"/>
  <c r="C167" i="2"/>
  <c r="C168" i="2"/>
  <c r="D166" i="2" l="1"/>
  <c r="C166" i="2"/>
  <c r="D165" i="2"/>
  <c r="C165" i="2"/>
  <c r="D164" i="2"/>
  <c r="C164" i="2"/>
  <c r="D163" i="2"/>
  <c r="C163" i="2"/>
  <c r="D162" i="2"/>
  <c r="C162" i="2"/>
  <c r="D161" i="2"/>
  <c r="C161" i="2"/>
  <c r="D160" i="2"/>
  <c r="C160" i="2"/>
  <c r="D159" i="2"/>
  <c r="C159" i="2"/>
  <c r="D158" i="2"/>
  <c r="C158" i="2"/>
  <c r="D157" i="2"/>
  <c r="C157" i="2"/>
  <c r="D156" i="2"/>
  <c r="C156" i="2"/>
  <c r="D155" i="2"/>
  <c r="C155" i="2"/>
  <c r="D154" i="2"/>
  <c r="C154" i="2"/>
  <c r="D153" i="2"/>
  <c r="C153" i="2"/>
  <c r="D152" i="2"/>
  <c r="C152" i="2"/>
  <c r="D151" i="2"/>
  <c r="C151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</calcChain>
</file>

<file path=xl/sharedStrings.xml><?xml version="1.0" encoding="utf-8"?>
<sst xmlns="http://schemas.openxmlformats.org/spreadsheetml/2006/main" count="357" uniqueCount="354">
  <si>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</si>
  <si>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</si>
  <si>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</si>
  <si>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</si>
  <si>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</si>
  <si>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</si>
  <si>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</si>
  <si>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</si>
  <si>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</si>
  <si>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</si>
  <si>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string_cfg——多语言文本相关配置。</t>
  </si>
  <si>
    <t>str_key</t>
  </si>
  <si>
    <t>zh</t>
  </si>
  <si>
    <t>en</t>
  </si>
  <si>
    <t>vn</t>
  </si>
  <si>
    <t>key</t>
  </si>
  <si>
    <t>string</t>
  </si>
  <si>
    <t>唯一标示</t>
  </si>
  <si>
    <t>中文</t>
  </si>
  <si>
    <t>英文</t>
  </si>
  <si>
    <t>越南文</t>
  </si>
  <si>
    <t>tip_1001</t>
  </si>
  <si>
    <t>连接超时！</t>
  </si>
  <si>
    <t>tip_1002</t>
  </si>
  <si>
    <t>连接错误！</t>
  </si>
  <si>
    <t>tip_1067</t>
  </si>
  <si>
    <t>正在检查更新：</t>
  </si>
  <si>
    <t>tip_1066</t>
  </si>
  <si>
    <t>自动登录中，请稍候。。。</t>
  </si>
  <si>
    <t>label_0001</t>
  </si>
  <si>
    <t>点击屏幕继续</t>
  </si>
  <si>
    <t>label_0002</t>
  </si>
  <si>
    <t>开得如下物品：</t>
  </si>
  <si>
    <t>label_0003</t>
  </si>
  <si>
    <t>抽五次</t>
  </si>
  <si>
    <t>label_0004</t>
  </si>
  <si>
    <t>抽一次</t>
  </si>
  <si>
    <t>label_0005</t>
  </si>
  <si>
    <t>确定</t>
  </si>
  <si>
    <t>label_0006</t>
  </si>
  <si>
    <t>取消</t>
  </si>
  <si>
    <t>label_0007</t>
  </si>
  <si>
    <t>今日不再提示</t>
  </si>
  <si>
    <t>label_0008</t>
  </si>
  <si>
    <t>订单状态</t>
  </si>
  <si>
    <t>label_0009</t>
  </si>
  <si>
    <t>所需消耗</t>
  </si>
  <si>
    <t>label_0010</t>
  </si>
  <si>
    <t>下单日期</t>
  </si>
  <si>
    <t>label_0011</t>
  </si>
  <si>
    <t>物流编号</t>
  </si>
  <si>
    <t>label_0012</t>
  </si>
  <si>
    <t>快递方式</t>
  </si>
  <si>
    <t>label_0013</t>
  </si>
  <si>
    <t>收货地址</t>
  </si>
  <si>
    <t>label_0014</t>
  </si>
  <si>
    <t>收件人</t>
  </si>
  <si>
    <t>label_0015</t>
  </si>
  <si>
    <t>联系电话</t>
  </si>
  <si>
    <t>label_0016</t>
  </si>
  <si>
    <t>卡号</t>
  </si>
  <si>
    <t>label_0017</t>
  </si>
  <si>
    <t>密码</t>
  </si>
  <si>
    <t>label_0018</t>
  </si>
  <si>
    <t>取消订单</t>
  </si>
  <si>
    <t>label_0019</t>
  </si>
  <si>
    <t>兑换后1到3个工作日内处理</t>
  </si>
  <si>
    <t>label_0020</t>
  </si>
  <si>
    <t>获得</t>
  </si>
  <si>
    <t>label_0021</t>
  </si>
  <si>
    <t>暂无订单</t>
  </si>
  <si>
    <t>label_0022</t>
  </si>
  <si>
    <t>订单</t>
  </si>
  <si>
    <t>label_0023</t>
  </si>
  <si>
    <t>查看详情</t>
  </si>
  <si>
    <t>label_0024</t>
  </si>
  <si>
    <t>兑换物品:</t>
  </si>
  <si>
    <t>label_0025</t>
  </si>
  <si>
    <t>捕鱼命中立即提高1.6倍\n开炮1200次内陆续衰减至1倍</t>
  </si>
  <si>
    <t>label_0026</t>
  </si>
  <si>
    <t>捕鱼命中立即提高2倍\n开炮1200次内陆续衰减至1倍</t>
  </si>
  <si>
    <t>label_0027</t>
  </si>
  <si>
    <t>对500倍以上的炮无效</t>
  </si>
  <si>
    <t>label_0028</t>
  </si>
  <si>
    <t>对1000倍以上的炮无效</t>
  </si>
  <si>
    <t>label_0029</t>
  </si>
  <si>
    <t>一元</t>
  </si>
  <si>
    <t>label_0030</t>
  </si>
  <si>
    <t>十元</t>
  </si>
  <si>
    <t>label_0031</t>
  </si>
  <si>
    <t>《捕捞季》开发组</t>
  </si>
  <si>
    <t>label_0032</t>
  </si>
  <si>
    <t>可在右边发表任何意见，我们将采纳优质建议，并给予奖励。</t>
  </si>
  <si>
    <t>label_0033</t>
  </si>
  <si>
    <t>发表</t>
  </si>
  <si>
    <t>label_0034</t>
  </si>
  <si>
    <t>每周一次分享</t>
  </si>
  <si>
    <t>label_0035</t>
  </si>
  <si>
    <t>领取</t>
  </si>
  <si>
    <t>label_0036</t>
  </si>
  <si>
    <t>充值</t>
  </si>
  <si>
    <t>label_0037</t>
  </si>
  <si>
    <t>已捕获奖金鱼</t>
  </si>
  <si>
    <t>label_0038</t>
  </si>
  <si>
    <t>继续游戏</t>
  </si>
  <si>
    <t>label_0039</t>
  </si>
  <si>
    <t>暂时离开</t>
  </si>
  <si>
    <t>label_0040</t>
  </si>
  <si>
    <t>邀请1个好友可获得如下奖励</t>
  </si>
  <si>
    <t>label_0041</t>
  </si>
  <si>
    <t>每日首次邀请好友可获得奖励</t>
  </si>
  <si>
    <t>label_0042</t>
  </si>
  <si>
    <t>规则：1.好友登录游戏，并升级50倍炮，可获得奖励。\n    2.好友每次充值钻石，邀请者都可获得10%的充值奖励。\n    3.邀请时发送给当前游戏账号QQ好友或QQ群。</t>
  </si>
  <si>
    <t>label_0043</t>
  </si>
  <si>
    <t>接受</t>
  </si>
  <si>
    <t>label_0044</t>
  </si>
  <si>
    <t>拒绝</t>
  </si>
  <si>
    <t>label_0045</t>
  </si>
  <si>
    <t>人物等级：</t>
  </si>
  <si>
    <t>label_0046</t>
  </si>
  <si>
    <t>武器倍率：</t>
  </si>
  <si>
    <t>label_0047</t>
  </si>
  <si>
    <t>拥有皮肤：</t>
  </si>
  <si>
    <t>label_0048</t>
  </si>
  <si>
    <t>排位段位：</t>
  </si>
  <si>
    <t>label_0049</t>
  </si>
  <si>
    <t>所在省份：</t>
  </si>
  <si>
    <t>label_0050</t>
  </si>
  <si>
    <t>打赏</t>
  </si>
  <si>
    <t>label_0051</t>
  </si>
  <si>
    <t>添加好友</t>
  </si>
  <si>
    <t>label_0052</t>
  </si>
  <si>
    <t>发送</t>
  </si>
  <si>
    <t>label_0053</t>
  </si>
  <si>
    <t>3天后可领</t>
  </si>
  <si>
    <t>label_0054</t>
  </si>
  <si>
    <t>我的魅力:</t>
  </si>
  <si>
    <t>label_0055</t>
  </si>
  <si>
    <t>获得称号:</t>
  </si>
  <si>
    <t>label_0056</t>
  </si>
  <si>
    <t>查看排名奖励</t>
  </si>
  <si>
    <t>label_0057</t>
  </si>
  <si>
    <t>已放养</t>
  </si>
  <si>
    <t>label_0058</t>
  </si>
  <si>
    <t>所属阵营：</t>
  </si>
  <si>
    <t>label_0059</t>
  </si>
  <si>
    <t>产出间隔：</t>
  </si>
  <si>
    <t>label_0060</t>
  </si>
  <si>
    <t>当前产量：</t>
  </si>
  <si>
    <t>label_0061</t>
  </si>
  <si>
    <t>下级产量：</t>
  </si>
  <si>
    <t>label_0062</t>
  </si>
  <si>
    <t>魅力加成：</t>
  </si>
  <si>
    <t>label_0063</t>
  </si>
  <si>
    <t>亲，网络是否正常？重连中。。</t>
  </si>
  <si>
    <t>label_0064</t>
  </si>
  <si>
    <t>返回登录</t>
  </si>
  <si>
    <t>label_0065</t>
  </si>
  <si>
    <t>暂无内容</t>
  </si>
  <si>
    <t>label_0066</t>
  </si>
  <si>
    <t>解锁需要</t>
  </si>
  <si>
    <t>label_0067</t>
  </si>
  <si>
    <t>我的胜点:</t>
  </si>
  <si>
    <t>label_0068</t>
  </si>
  <si>
    <t>我的段位:</t>
  </si>
  <si>
    <t>label_0069</t>
  </si>
  <si>
    <t>我的排名:</t>
  </si>
  <si>
    <t>label_0070</t>
  </si>
  <si>
    <t>每月1日发放赛季奖励</t>
  </si>
  <si>
    <t>label_0071</t>
  </si>
  <si>
    <t>每日0点发放排名奖励</t>
  </si>
  <si>
    <t>label_0072</t>
  </si>
  <si>
    <t>查看奖励</t>
  </si>
  <si>
    <t>label_0073</t>
  </si>
  <si>
    <t>用户标识：</t>
  </si>
  <si>
    <t>label_0074</t>
  </si>
  <si>
    <t>炮台等级：</t>
  </si>
  <si>
    <t>label_0075</t>
  </si>
  <si>
    <t>VIP等级：</t>
  </si>
  <si>
    <t>label_0076</t>
  </si>
  <si>
    <t>成就点：</t>
  </si>
  <si>
    <t>label_0077</t>
  </si>
  <si>
    <t>最高金币：</t>
  </si>
  <si>
    <t>label_0078</t>
  </si>
  <si>
    <t>所在位置：</t>
  </si>
  <si>
    <t>label_0079</t>
  </si>
  <si>
    <t>魅力值：</t>
  </si>
  <si>
    <t>label_0080</t>
  </si>
  <si>
    <t>使用喇叭：</t>
  </si>
  <si>
    <t>label_0081</t>
  </si>
  <si>
    <t>收到鲜花：</t>
  </si>
  <si>
    <t>label_0082</t>
  </si>
  <si>
    <t>音乐</t>
  </si>
  <si>
    <t>label_0083</t>
  </si>
  <si>
    <t>音效</t>
  </si>
  <si>
    <t>label_0084</t>
  </si>
  <si>
    <t>默认省份</t>
  </si>
  <si>
    <t>label_0085</t>
  </si>
  <si>
    <t>选择省份</t>
  </si>
  <si>
    <t>label_0086</t>
  </si>
  <si>
    <t>领取奖励</t>
  </si>
  <si>
    <t>label_0087</t>
  </si>
  <si>
    <t>你的排名超过好友啦，要通知好友吗？</t>
  </si>
  <si>
    <t>label_0088</t>
  </si>
  <si>
    <t>算了吧</t>
  </si>
  <si>
    <t>label_0089</t>
  </si>
  <si>
    <t>通知</t>
  </si>
  <si>
    <t>label_0090</t>
  </si>
  <si>
    <t>点击发送快捷消息</t>
  </si>
  <si>
    <t>label_0091</t>
  </si>
  <si>
    <t>领取成功</t>
  </si>
  <si>
    <t>label_0092</t>
  </si>
  <si>
    <t>恭喜您获得：</t>
  </si>
  <si>
    <t>label_0093</t>
  </si>
  <si>
    <t>记得明天继续到\n玩吧礼包中心领取新的礼包哦！</t>
  </si>
  <si>
    <t>label_0094</t>
  </si>
  <si>
    <t>处理中，请稍候。。。</t>
  </si>
  <si>
    <t>label_0095</t>
  </si>
  <si>
    <t>皮肤在已购买玩家中的支持率</t>
  </si>
  <si>
    <t>label_0096</t>
  </si>
  <si>
    <t>你觉得你的皮肤中哪些皮肤好用？（可多选）</t>
  </si>
  <si>
    <t>label_0097</t>
  </si>
  <si>
    <t>暂无邮件</t>
  </si>
  <si>
    <t>label_0098</t>
  </si>
  <si>
    <t>一键领取</t>
  </si>
  <si>
    <t>label_0099</t>
  </si>
  <si>
    <t>版本更新奖励</t>
  </si>
  <si>
    <t>label_0100</t>
  </si>
  <si>
    <t>10级解锁</t>
  </si>
  <si>
    <t>label_0101</t>
  </si>
  <si>
    <t>武器100 倍解锁</t>
  </si>
  <si>
    <t>label_0102</t>
  </si>
  <si>
    <t>购买：</t>
  </si>
  <si>
    <t>label_0103</t>
  </si>
  <si>
    <t>原价：</t>
  </si>
  <si>
    <t>label_0104</t>
  </si>
  <si>
    <t>暂无可兑换物品</t>
  </si>
  <si>
    <t>label_0105</t>
  </si>
  <si>
    <t>剩余</t>
  </si>
  <si>
    <t>label_0106</t>
  </si>
  <si>
    <t>兑换</t>
  </si>
  <si>
    <t>label_0107</t>
  </si>
  <si>
    <t>每次花费50</t>
  </si>
  <si>
    <t>label_0108</t>
  </si>
  <si>
    <t>升星</t>
  </si>
  <si>
    <t>label_0109</t>
  </si>
  <si>
    <t>非卖限定</t>
  </si>
  <si>
    <t>label_0110</t>
  </si>
  <si>
    <t>锻造至</t>
  </si>
  <si>
    <t>label_0111</t>
  </si>
  <si>
    <t>消耗</t>
  </si>
  <si>
    <t>label_0112</t>
  </si>
  <si>
    <t>网络处理中。。。</t>
  </si>
  <si>
    <t>label_0113</t>
  </si>
  <si>
    <t>你已达成奖励</t>
  </si>
  <si>
    <t>label_0114</t>
  </si>
  <si>
    <t>捕获指定鱼种获得人鱼宝藏</t>
  </si>
  <si>
    <t>label_0115</t>
  </si>
  <si>
    <t>充值不到账，请联系客服</t>
  </si>
  <si>
    <t>label_0116</t>
  </si>
  <si>
    <t>前往渔场</t>
  </si>
  <si>
    <t>label_0117</t>
  </si>
  <si>
    <t>分享</t>
  </si>
  <si>
    <t>label_0118</t>
  </si>
  <si>
    <t>今日\n领取</t>
  </si>
  <si>
    <t>label_0119</t>
  </si>
  <si>
    <t>拥有：</t>
  </si>
  <si>
    <t>label_0120</t>
  </si>
  <si>
    <t>点此输入</t>
  </si>
  <si>
    <t>label_0121</t>
  </si>
  <si>
    <t>PIN</t>
  </si>
  <si>
    <t>label_0122</t>
  </si>
  <si>
    <t>serial</t>
  </si>
  <si>
    <t>label_0123</t>
  </si>
  <si>
    <t>验证码</t>
  </si>
  <si>
    <t>label_0124</t>
  </si>
  <si>
    <t>金额</t>
  </si>
  <si>
    <t>label_0125</t>
  </si>
  <si>
    <t>装备</t>
  </si>
  <si>
    <t>label_0126</t>
  </si>
  <si>
    <t>已装备</t>
  </si>
  <si>
    <t>label_0127</t>
  </si>
  <si>
    <t>鱼场太火爆啦，预计&lt;color=#4ffe63&gt;%d&lt;/c&gt;人后即可闪亮登场</t>
  </si>
  <si>
    <t>label_0128</t>
  </si>
  <si>
    <t>赛季奖励</t>
  </si>
  <si>
    <t>label_0129</t>
  </si>
  <si>
    <t>体型越大，获得的奖励越高！</t>
  </si>
  <si>
    <t>label_0130</t>
  </si>
  <si>
    <t>30级可以使用</t>
  </si>
  <si>
    <t>label_0131</t>
  </si>
  <si>
    <t>今日剩余购买次数：</t>
  </si>
  <si>
    <t>label_0132</t>
  </si>
  <si>
    <t>可获得</t>
  </si>
  <si>
    <t>label_0133</t>
  </si>
  <si>
    <t>购买5次</t>
  </si>
  <si>
    <t>label_0134</t>
  </si>
  <si>
    <t>购买1次</t>
  </si>
  <si>
    <t>label_0135</t>
  </si>
  <si>
    <t>免费钻石获得途径</t>
  </si>
  <si>
    <t>label_0136</t>
  </si>
  <si>
    <t>日常任务</t>
  </si>
  <si>
    <t>label_0137</t>
  </si>
  <si>
    <t>成就任务</t>
  </si>
  <si>
    <t>label_0138</t>
  </si>
  <si>
    <t>救济金</t>
  </si>
  <si>
    <t>label_0139</t>
  </si>
  <si>
    <t>水族馆</t>
  </si>
  <si>
    <t>label_0140</t>
  </si>
  <si>
    <t>前往</t>
  </si>
  <si>
    <t>label_0141</t>
  </si>
  <si>
    <t>label_0142</t>
  </si>
  <si>
    <t>这个宝箱是你的了，我还会回来的</t>
  </si>
  <si>
    <t>label_0143</t>
  </si>
  <si>
    <t>在下面输入并发表，其他玩家也可看见哟！</t>
  </si>
  <si>
    <t>label_0144</t>
  </si>
  <si>
    <t>亲爱的玩家:</t>
  </si>
  <si>
    <t>label_0145</t>
  </si>
  <si>
    <t>查看更多</t>
  </si>
  <si>
    <t>label_0146</t>
  </si>
  <si>
    <t>账号:</t>
  </si>
  <si>
    <t>label_0147</t>
  </si>
  <si>
    <t>密码:</t>
  </si>
  <si>
    <t>label_0148</t>
  </si>
  <si>
    <t>注册账号</t>
  </si>
  <si>
    <t>label_0149</t>
  </si>
  <si>
    <t>找回密码</t>
  </si>
  <si>
    <t>label_0150</t>
  </si>
  <si>
    <t>登录</t>
  </si>
  <si>
    <t>label_0151</t>
  </si>
  <si>
    <t>使用其他方式登录</t>
  </si>
  <si>
    <t>label_0152</t>
  </si>
  <si>
    <t>确认密码:</t>
  </si>
  <si>
    <t>label_0153</t>
  </si>
  <si>
    <t>label_0154</t>
  </si>
  <si>
    <t>获取验证码</t>
  </si>
  <si>
    <t>label_0155</t>
  </si>
  <si>
    <t>输入账号</t>
  </si>
  <si>
    <t>label_0156</t>
  </si>
  <si>
    <t>输入密码</t>
  </si>
  <si>
    <t>label_0157</t>
  </si>
  <si>
    <t>输入验证码</t>
  </si>
  <si>
    <t>label_0158</t>
  </si>
  <si>
    <t>输入手机号码</t>
  </si>
  <si>
    <t>label_0159</t>
  </si>
  <si>
    <t>绑定手机</t>
  </si>
  <si>
    <t>注册</t>
    <phoneticPr fontId="6" type="noConversion"/>
  </si>
  <si>
    <t>验证码：</t>
    <phoneticPr fontId="6" type="noConversion"/>
  </si>
  <si>
    <t>手机验证：</t>
    <phoneticPr fontId="6" type="noConversion"/>
  </si>
  <si>
    <t>label_0160</t>
  </si>
  <si>
    <t>label_0161</t>
  </si>
  <si>
    <t>玩家昵称：</t>
    <phoneticPr fontId="6" type="noConversion"/>
  </si>
  <si>
    <t>label_0162</t>
  </si>
  <si>
    <t>输入玩家昵称</t>
    <phoneticPr fontId="6" type="noConversion"/>
  </si>
  <si>
    <t>label_0163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</si>
</sst>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17">
    <xf numFmtId="0" fontId="0" fillId="0" borderId="0" xfId="0" applyAlignment="1"/>
    <xf numFmtId="0" fontId="0" fillId="0" borderId="0" xfId="0" applyFont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3" borderId="2" xfId="0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2" fillId="0" borderId="0" xfId="0" applyFont="1" applyFill="1" applyAlignment="1">
      <alignment vertical="center"/>
    </xf>
    <xf numFmtId="0" fontId="3" fillId="0" borderId="0" xfId="1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49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1" fillId="5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  <xf numFmtId="0" fontId="0" fillId="0" borderId="0" xfId="0" applyFont="1" applyFill="1" applyAlignment="1">
      <alignment vertical="center"/>
    </xf>
  </cellXfs>
  <cellStyles count="2">
    <cellStyle name="常规" xfId="0" builtinId="0"/>
    <cellStyle name="常规 2" xfId="1" xr:uid="{00000000-0005-0000-0000-000031000000}"/>
  </cellStyles>
  <dxfs count="2"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38100</xdr:rowOff>
    </xdr:from>
    <xdr:to>
      <xdr:col>0</xdr:col>
      <xdr:colOff>428625</xdr:colOff>
      <xdr:row>2</xdr:row>
      <xdr:rowOff>190500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38100"/>
          <a:ext cx="428625" cy="5715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-&#23383;&#31526;&#20018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strings_cfg"/>
      <sheetName val="翻译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3:D170" totalsRowShown="0">
  <autoFilter ref="A3:D170" xr:uid="{00000000-0009-0000-0100-000001000000}"/>
  <tableColumns count="4">
    <tableColumn id="1" xr3:uid="{00000000-0010-0000-0000-000001000000}" name="唯一标示"/>
    <tableColumn id="2" xr3:uid="{00000000-0010-0000-0000-000002000000}" name="中文"/>
    <tableColumn id="3" xr3:uid="{00000000-0010-0000-0000-000003000000}" name="英文"/>
    <tableColumn id="4" xr3:uid="{00000000-0010-0000-0000-000004000000}" name="越南文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6" sqref="A6:B23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9" t="s">
        <v>0</v>
      </c>
      <c r="B1" t="s">
        <v>1</v>
      </c>
    </row>
    <row r="2" spans="1:2" ht="16.5" x14ac:dyDescent="0.15">
      <c r="A2" s="3" t="s">
        <v>2</v>
      </c>
      <c r="B2" t="s">
        <v>3</v>
      </c>
    </row>
    <row r="3" spans="1:2" ht="16.5" x14ac:dyDescent="0.3">
      <c r="A3" s="10" t="s">
        <v>4</v>
      </c>
      <c r="B3" t="s">
        <v>5</v>
      </c>
    </row>
    <row r="4" spans="1:2" ht="16.5" x14ac:dyDescent="0.15">
      <c r="A4" s="11" t="s">
        <v>6</v>
      </c>
      <c r="B4" t="s">
        <v>7</v>
      </c>
    </row>
    <row r="6" spans="1:2" x14ac:dyDescent="0.15">
      <c r="A6" s="13" t="s">
        <v>8</v>
      </c>
      <c r="B6" s="14"/>
    </row>
    <row r="7" spans="1:2" x14ac:dyDescent="0.15">
      <c r="A7" s="14"/>
      <c r="B7" s="14"/>
    </row>
    <row r="8" spans="1:2" x14ac:dyDescent="0.15">
      <c r="A8" s="14"/>
      <c r="B8" s="14"/>
    </row>
    <row r="9" spans="1:2" x14ac:dyDescent="0.15">
      <c r="A9" s="14"/>
      <c r="B9" s="14"/>
    </row>
    <row r="10" spans="1:2" x14ac:dyDescent="0.15">
      <c r="A10" s="14"/>
      <c r="B10" s="14"/>
    </row>
    <row r="11" spans="1:2" x14ac:dyDescent="0.15">
      <c r="A11" s="14"/>
      <c r="B11" s="14"/>
    </row>
    <row r="12" spans="1:2" x14ac:dyDescent="0.15">
      <c r="A12" s="14"/>
      <c r="B12" s="14"/>
    </row>
    <row r="13" spans="1:2" x14ac:dyDescent="0.15">
      <c r="A13" s="14"/>
      <c r="B13" s="14"/>
    </row>
    <row r="14" spans="1:2" x14ac:dyDescent="0.15">
      <c r="A14" s="14"/>
      <c r="B14" s="14"/>
    </row>
    <row r="15" spans="1:2" x14ac:dyDescent="0.15">
      <c r="A15" s="14"/>
      <c r="B15" s="14"/>
    </row>
    <row r="16" spans="1:2" ht="13.15" customHeight="1" x14ac:dyDescent="0.15">
      <c r="A16" s="14"/>
      <c r="B16" s="14"/>
    </row>
    <row r="17" spans="1:2" ht="4.1500000000000004" customHeight="1" x14ac:dyDescent="0.15">
      <c r="A17" s="14"/>
      <c r="B17" s="14"/>
    </row>
    <row r="18" spans="1:2" hidden="1" x14ac:dyDescent="0.15">
      <c r="A18" s="14"/>
      <c r="B18" s="14"/>
    </row>
    <row r="19" spans="1:2" hidden="1" x14ac:dyDescent="0.15">
      <c r="A19" s="14"/>
      <c r="B19" s="14"/>
    </row>
    <row r="20" spans="1:2" hidden="1" x14ac:dyDescent="0.15">
      <c r="A20" s="14"/>
      <c r="B20" s="14"/>
    </row>
    <row r="21" spans="1:2" ht="22.9" customHeight="1" x14ac:dyDescent="0.15">
      <c r="A21" s="14"/>
      <c r="B21" s="14"/>
    </row>
    <row r="22" spans="1:2" ht="45" hidden="1" customHeight="1" x14ac:dyDescent="0.15">
      <c r="A22" s="14"/>
      <c r="B22" s="14"/>
    </row>
    <row r="23" spans="1:2" ht="51" hidden="1" customHeight="1" x14ac:dyDescent="0.15">
      <c r="A23" s="14"/>
      <c r="B23" s="14"/>
    </row>
    <row r="24" spans="1:2" x14ac:dyDescent="0.15">
      <c r="A24" s="15" t="s">
        <v>9</v>
      </c>
      <c r="B24" s="15"/>
    </row>
    <row r="25" spans="1:2" x14ac:dyDescent="0.15">
      <c r="A25" s="15" t="s">
        <v>10</v>
      </c>
      <c r="B25" s="15"/>
    </row>
    <row r="26" spans="1:2" x14ac:dyDescent="0.15">
      <c r="A26" s="15"/>
      <c r="B26" s="15"/>
    </row>
    <row r="27" spans="1:2" x14ac:dyDescent="0.15">
      <c r="A27" s="15"/>
      <c r="B27" s="15"/>
    </row>
    <row r="28" spans="1:2" x14ac:dyDescent="0.15">
      <c r="A28" s="15"/>
      <c r="B28" s="15"/>
    </row>
    <row r="29" spans="1:2" x14ac:dyDescent="0.15">
      <c r="A29" s="15"/>
      <c r="B29" s="15"/>
    </row>
    <row r="30" spans="1:2" x14ac:dyDescent="0.15">
      <c r="A30" s="15"/>
      <c r="B30" s="15"/>
    </row>
    <row r="31" spans="1:2" x14ac:dyDescent="0.15">
      <c r="A31" s="15"/>
      <c r="B31" s="15"/>
    </row>
    <row r="32" spans="1:2" x14ac:dyDescent="0.15">
      <c r="A32" s="15"/>
      <c r="B32" s="15"/>
    </row>
    <row r="33" spans="1:2" x14ac:dyDescent="0.15">
      <c r="A33" s="15"/>
      <c r="B33" s="15"/>
    </row>
    <row r="34" spans="1:2" x14ac:dyDescent="0.15">
      <c r="A34" s="15"/>
      <c r="B34" s="15"/>
    </row>
    <row r="35" spans="1:2" x14ac:dyDescent="0.15">
      <c r="A35" s="15"/>
      <c r="B35" s="15"/>
    </row>
    <row r="36" spans="1:2" x14ac:dyDescent="0.15">
      <c r="A36" s="15"/>
      <c r="B36" s="15"/>
    </row>
    <row r="37" spans="1:2" x14ac:dyDescent="0.15">
      <c r="A37" s="15"/>
      <c r="B37" s="15"/>
    </row>
    <row r="38" spans="1:2" x14ac:dyDescent="0.15">
      <c r="A38" s="15"/>
      <c r="B38" s="15"/>
    </row>
    <row r="39" spans="1:2" x14ac:dyDescent="0.15">
      <c r="A39" s="15"/>
      <c r="B39" s="15"/>
    </row>
    <row r="40" spans="1:2" x14ac:dyDescent="0.15">
      <c r="A40" s="15"/>
      <c r="B40" s="15"/>
    </row>
    <row r="41" spans="1:2" x14ac:dyDescent="0.15">
      <c r="A41" s="15"/>
      <c r="B41" s="15"/>
    </row>
    <row r="42" spans="1:2" x14ac:dyDescent="0.15">
      <c r="A42" s="15"/>
      <c r="B42" s="15"/>
    </row>
    <row r="43" spans="1:2" x14ac:dyDescent="0.15">
      <c r="A43" s="15"/>
      <c r="B43" s="15"/>
    </row>
    <row r="44" spans="1:2" x14ac:dyDescent="0.15">
      <c r="A44" s="15"/>
      <c r="B44" s="15"/>
    </row>
    <row r="45" spans="1:2" x14ac:dyDescent="0.15">
      <c r="A45" s="15"/>
      <c r="B45" s="15"/>
    </row>
    <row r="46" spans="1:2" x14ac:dyDescent="0.15">
      <c r="A46" s="15"/>
      <c r="B46" s="15"/>
    </row>
    <row r="47" spans="1:2" x14ac:dyDescent="0.15">
      <c r="A47" s="15"/>
      <c r="B47" s="15"/>
    </row>
    <row r="48" spans="1:2" x14ac:dyDescent="0.15">
      <c r="A48" s="15"/>
      <c r="B48" s="15"/>
    </row>
    <row r="49" spans="1:2" x14ac:dyDescent="0.15">
      <c r="A49" s="15"/>
      <c r="B49" s="15"/>
    </row>
    <row r="50" spans="1:2" x14ac:dyDescent="0.15">
      <c r="A50" s="15"/>
      <c r="B50" s="15"/>
    </row>
    <row r="51" spans="1:2" x14ac:dyDescent="0.15">
      <c r="A51" s="15"/>
      <c r="B51" s="15"/>
    </row>
    <row r="52" spans="1:2" x14ac:dyDescent="0.15">
      <c r="A52" s="15"/>
      <c r="B52" s="15"/>
    </row>
    <row r="53" spans="1:2" x14ac:dyDescent="0.15">
      <c r="A53" s="15"/>
      <c r="B53" s="15"/>
    </row>
  </sheetData>
  <mergeCells count="31"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  <mergeCell ref="A53:B53"/>
    <mergeCell ref="A44:B44"/>
    <mergeCell ref="A45:B45"/>
    <mergeCell ref="A46:B46"/>
    <mergeCell ref="A47:B47"/>
    <mergeCell ref="A48:B48"/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70"/>
  <sheetViews>
    <sheetView tabSelected="1" workbookViewId="0">
      <pane xSplit="1" ySplit="3" topLeftCell="B135" activePane="bottomRight" state="frozenSplit"/>
      <selection pane="topRight"/>
      <selection pane="bottomLeft"/>
      <selection pane="bottomRight" activeCell="C150" sqref="C150"/>
    </sheetView>
  </sheetViews>
  <sheetFormatPr defaultColWidth="9" defaultRowHeight="13.5" x14ac:dyDescent="0.15"/>
  <cols>
    <col min="1" max="1" width="22.875" style="1" customWidth="1"/>
    <col min="2" max="2" width="31.125" style="1" customWidth="1"/>
    <col min="3" max="3" width="22.75" style="1" customWidth="1"/>
    <col min="4" max="4" width="26" style="1" customWidth="1"/>
    <col min="5" max="16384" width="9" style="1"/>
  </cols>
  <sheetData>
    <row r="1" spans="1:4" ht="16.5" customHeight="1" x14ac:dyDescent="0.15">
      <c r="A1" s="2" t="s">
        <v>11</v>
      </c>
      <c r="B1" s="2" t="s">
        <v>12</v>
      </c>
      <c r="C1" s="2" t="s">
        <v>13</v>
      </c>
      <c r="D1" s="2" t="s">
        <v>14</v>
      </c>
    </row>
    <row r="2" spans="1:4" ht="16.5" x14ac:dyDescent="0.15">
      <c r="A2" s="3" t="s">
        <v>15</v>
      </c>
      <c r="B2" s="3" t="s">
        <v>16</v>
      </c>
      <c r="C2" s="3" t="s">
        <v>16</v>
      </c>
      <c r="D2" s="3" t="s">
        <v>16</v>
      </c>
    </row>
    <row r="3" spans="1:4" ht="16.5" x14ac:dyDescent="0.15">
      <c r="A3" s="4" t="s">
        <v>17</v>
      </c>
      <c r="B3" s="4" t="s">
        <v>18</v>
      </c>
      <c r="C3" s="4" t="s">
        <v>19</v>
      </c>
      <c r="D3" s="4" t="s">
        <v>20</v>
      </c>
    </row>
    <row r="4" spans="1:4" x14ac:dyDescent="0.15">
      <c r="A4" s="1" t="s">
        <v>21</v>
      </c>
      <c r="B4" s="1" t="s">
        <v>22</v>
      </c>
      <c r="C4" s="5" t="str">
        <f>IFERROR(VLOOKUP(表1[[#This Row],[中文]],[1]!表1_3[[中文]:[翻译后文本]],2,FALSE),"EN."&amp;表1[[#This Row],[中文]])</f>
        <v xml:space="preserve">Quá giờ kết nối! </v>
      </c>
      <c r="D4" s="5" t="str">
        <f>IFERROR(VLOOKUP(表1[[#This Row],[中文]],[1]!表1_3[[中文]:[翻译后文本]],2,FALSE),"VN."&amp;表1[[#This Row],[中文]])</f>
        <v xml:space="preserve">Quá giờ kết nối! </v>
      </c>
    </row>
    <row r="5" spans="1:4" x14ac:dyDescent="0.15">
      <c r="A5" s="1" t="s">
        <v>23</v>
      </c>
      <c r="B5" s="1" t="s">
        <v>24</v>
      </c>
      <c r="C5" s="5" t="str">
        <f>IFERROR(VLOOKUP(表1[[#This Row],[中文]],[1]!表1_3[[中文]:[翻译后文本]],2,FALSE),"EN."&amp;表1[[#This Row],[中文]])</f>
        <v>Kết nối sai!</v>
      </c>
      <c r="D5" s="5" t="str">
        <f>IFERROR(VLOOKUP(表1[[#This Row],[中文]],[1]!表1_3[[中文]:[翻译后文本]],2,FALSE),"VN."&amp;表1[[#This Row],[中文]])</f>
        <v>Kết nối sai!</v>
      </c>
    </row>
    <row r="6" spans="1:4" x14ac:dyDescent="0.15">
      <c r="A6" s="1" t="s">
        <v>25</v>
      </c>
      <c r="B6" s="1" t="s">
        <v>26</v>
      </c>
      <c r="C6" s="5" t="str">
        <f>IFERROR(VLOOKUP(表1[[#This Row],[中文]],[1]!表1_3[[中文]:[翻译后文本]],2,FALSE),"EN."&amp;表1[[#This Row],[中文]])</f>
        <v>Đang kiểm tra update:</v>
      </c>
      <c r="D6" s="5" t="str">
        <f>IFERROR(VLOOKUP(表1[[#This Row],[中文]],[1]!表1_3[[中文]:[翻译后文本]],2,FALSE),"VN."&amp;表1[[#This Row],[中文]])</f>
        <v>Đang kiểm tra update:</v>
      </c>
    </row>
    <row r="7" spans="1:4" x14ac:dyDescent="0.15">
      <c r="A7" s="1" t="s">
        <v>27</v>
      </c>
      <c r="B7" s="1" t="s">
        <v>28</v>
      </c>
      <c r="C7" s="5" t="str">
        <f>IFERROR(VLOOKUP(表1[[#This Row],[中文]],[1]!表1_3[[中文]:[翻译后文本]],2,FALSE),"EN."&amp;表1[[#This Row],[中文]])</f>
        <v>Đang tự động đăng nhập, vui lòng đợi...</v>
      </c>
      <c r="D7" s="5" t="str">
        <f>IFERROR(VLOOKUP(表1[[#This Row],[中文]],[1]!表1_3[[中文]:[翻译后文本]],2,FALSE),"VN."&amp;表1[[#This Row],[中文]])</f>
        <v>Đang tự động đăng nhập, vui lòng đợi...</v>
      </c>
    </row>
    <row r="8" spans="1:4" x14ac:dyDescent="0.15">
      <c r="A8" s="5" t="s">
        <v>29</v>
      </c>
      <c r="B8" s="5" t="s">
        <v>30</v>
      </c>
      <c r="C8" s="5" t="str">
        <f>IFERROR(VLOOKUP(表1[[#This Row],[中文]],[1]!表1_3[[中文]:[翻译后文本]],2,FALSE),"EN."&amp;表1[[#This Row],[中文]])</f>
        <v xml:space="preserve">Click màn hình tiếp tục </v>
      </c>
      <c r="D8" s="5" t="str">
        <f>IFERROR(VLOOKUP(表1[[#This Row],[中文]],[1]!表1_3[[中文]:[翻译后文本]],2,FALSE),"VN."&amp;表1[[#This Row],[中文]])</f>
        <v xml:space="preserve">Click màn hình tiếp tục </v>
      </c>
    </row>
    <row r="9" spans="1:4" x14ac:dyDescent="0.15">
      <c r="A9" s="5" t="s">
        <v>31</v>
      </c>
      <c r="B9" s="5" t="s">
        <v>32</v>
      </c>
      <c r="C9" s="5" t="str">
        <f>IFERROR(VLOOKUP(表1[[#This Row],[中文]],[1]!表1_3[[中文]:[翻译后文本]],2,FALSE),"EN."&amp;表1[[#This Row],[中文]])</f>
        <v xml:space="preserve">Mở được vật phẩm sau: </v>
      </c>
      <c r="D9" s="5" t="str">
        <f>IFERROR(VLOOKUP(表1[[#This Row],[中文]],[1]!表1_3[[中文]:[翻译后文本]],2,FALSE),"VN."&amp;表1[[#This Row],[中文]])</f>
        <v xml:space="preserve">Mở được vật phẩm sau: </v>
      </c>
    </row>
    <row r="10" spans="1:4" x14ac:dyDescent="0.15">
      <c r="A10" s="5" t="s">
        <v>33</v>
      </c>
      <c r="B10" s="5" t="s">
        <v>34</v>
      </c>
      <c r="C10" s="5" t="str">
        <f>IFERROR(VLOOKUP(表1[[#This Row],[中文]],[1]!表1_3[[中文]:[翻译后文本]],2,FALSE),"EN."&amp;表1[[#This Row],[中文]])</f>
        <v>5 Lần</v>
      </c>
      <c r="D10" s="5" t="str">
        <f>IFERROR(VLOOKUP(表1[[#This Row],[中文]],[1]!表1_3[[中文]:[翻译后文本]],2,FALSE),"VN."&amp;表1[[#This Row],[中文]])</f>
        <v>5 Lần</v>
      </c>
    </row>
    <row r="11" spans="1:4" x14ac:dyDescent="0.15">
      <c r="A11" s="5" t="s">
        <v>35</v>
      </c>
      <c r="B11" s="5" t="s">
        <v>36</v>
      </c>
      <c r="C11" s="5" t="str">
        <f>IFERROR(VLOOKUP(表1[[#This Row],[中文]],[1]!表1_3[[中文]:[翻译后文本]],2,FALSE),"EN."&amp;表1[[#This Row],[中文]])</f>
        <v>1 Lần</v>
      </c>
      <c r="D11" s="5" t="str">
        <f>IFERROR(VLOOKUP(表1[[#This Row],[中文]],[1]!表1_3[[中文]:[翻译后文本]],2,FALSE),"VN."&amp;表1[[#This Row],[中文]])</f>
        <v>1 Lần</v>
      </c>
    </row>
    <row r="12" spans="1:4" x14ac:dyDescent="0.15">
      <c r="A12" s="5" t="s">
        <v>37</v>
      </c>
      <c r="B12" s="5" t="s">
        <v>38</v>
      </c>
      <c r="C12" s="5" t="str">
        <f>IFERROR(VLOOKUP(表1[[#This Row],[中文]],[1]!表1_3[[中文]:[翻译后文本]],2,FALSE),"EN."&amp;表1[[#This Row],[中文]])</f>
        <v xml:space="preserve">Xác nhận </v>
      </c>
      <c r="D12" s="5" t="str">
        <f>IFERROR(VLOOKUP(表1[[#This Row],[中文]],[1]!表1_3[[中文]:[翻译后文本]],2,FALSE),"VN."&amp;表1[[#This Row],[中文]])</f>
        <v xml:space="preserve">Xác nhận </v>
      </c>
    </row>
    <row r="13" spans="1:4" x14ac:dyDescent="0.15">
      <c r="A13" s="5" t="s">
        <v>39</v>
      </c>
      <c r="B13" s="5" t="s">
        <v>40</v>
      </c>
      <c r="C13" s="5" t="str">
        <f>IFERROR(VLOOKUP(表1[[#This Row],[中文]],[1]!表1_3[[中文]:[翻译后文本]],2,FALSE),"EN."&amp;表1[[#This Row],[中文]])</f>
        <v xml:space="preserve">Hủy </v>
      </c>
      <c r="D13" s="5" t="str">
        <f>IFERROR(VLOOKUP(表1[[#This Row],[中文]],[1]!表1_3[[中文]:[翻译后文本]],2,FALSE),"VN."&amp;表1[[#This Row],[中文]])</f>
        <v xml:space="preserve">Hủy </v>
      </c>
    </row>
    <row r="14" spans="1:4" x14ac:dyDescent="0.15">
      <c r="A14" s="5" t="s">
        <v>41</v>
      </c>
      <c r="B14" s="5" t="s">
        <v>42</v>
      </c>
      <c r="C14" s="5" t="str">
        <f>IFERROR(VLOOKUP(表1[[#This Row],[中文]],[1]!表1_3[[中文]:[翻译后文本]],2,FALSE),"EN."&amp;表1[[#This Row],[中文]])</f>
        <v>Hôm nay không nhắc nhở nữa</v>
      </c>
      <c r="D14" s="5" t="str">
        <f>IFERROR(VLOOKUP(表1[[#This Row],[中文]],[1]!表1_3[[中文]:[翻译后文本]],2,FALSE),"VN."&amp;表1[[#This Row],[中文]])</f>
        <v>Hôm nay không nhắc nhở nữa</v>
      </c>
    </row>
    <row r="15" spans="1:4" x14ac:dyDescent="0.15">
      <c r="A15" s="5" t="s">
        <v>43</v>
      </c>
      <c r="B15" s="5" t="s">
        <v>44</v>
      </c>
      <c r="C15" s="5" t="str">
        <f>IFERROR(VLOOKUP(表1[[#This Row],[中文]],[1]!表1_3[[中文]:[翻译后文本]],2,FALSE),"EN."&amp;表1[[#This Row],[中文]])</f>
        <v>Trạng thái Đơn</v>
      </c>
      <c r="D15" s="5" t="str">
        <f>IFERROR(VLOOKUP(表1[[#This Row],[中文]],[1]!表1_3[[中文]:[翻译后文本]],2,FALSE),"VN."&amp;表1[[#This Row],[中文]])</f>
        <v>Trạng thái Đơn</v>
      </c>
    </row>
    <row r="16" spans="1:4" x14ac:dyDescent="0.15">
      <c r="A16" s="5" t="s">
        <v>45</v>
      </c>
      <c r="B16" s="5" t="s">
        <v>46</v>
      </c>
      <c r="C16" s="5" t="str">
        <f>IFERROR(VLOOKUP(表1[[#This Row],[中文]],[1]!表1_3[[中文]:[翻译后文本]],2,FALSE),"EN."&amp;表1[[#This Row],[中文]])</f>
        <v xml:space="preserve">Tiêu hao cần </v>
      </c>
      <c r="D16" s="5" t="str">
        <f>IFERROR(VLOOKUP(表1[[#This Row],[中文]],[1]!表1_3[[中文]:[翻译后文本]],2,FALSE),"VN."&amp;表1[[#This Row],[中文]])</f>
        <v xml:space="preserve">Tiêu hao cần </v>
      </c>
    </row>
    <row r="17" spans="1:4" x14ac:dyDescent="0.15">
      <c r="A17" s="5" t="s">
        <v>47</v>
      </c>
      <c r="B17" s="5" t="s">
        <v>48</v>
      </c>
      <c r="C17" s="5" t="str">
        <f>IFERROR(VLOOKUP(表1[[#This Row],[中文]],[1]!表1_3[[中文]:[翻译后文本]],2,FALSE),"EN."&amp;表1[[#This Row],[中文]])</f>
        <v>Ngày lên đơn</v>
      </c>
      <c r="D17" s="5" t="str">
        <f>IFERROR(VLOOKUP(表1[[#This Row],[中文]],[1]!表1_3[[中文]:[翻译后文本]],2,FALSE),"VN."&amp;表1[[#This Row],[中文]])</f>
        <v>Ngày lên đơn</v>
      </c>
    </row>
    <row r="18" spans="1:4" x14ac:dyDescent="0.15">
      <c r="A18" s="5" t="s">
        <v>49</v>
      </c>
      <c r="B18" s="5" t="s">
        <v>50</v>
      </c>
      <c r="C18" s="5" t="str">
        <f>IFERROR(VLOOKUP(表1[[#This Row],[中文]],[1]!表1_3[[中文]:[翻译后文本]],2,FALSE),"EN."&amp;表1[[#This Row],[中文]])</f>
        <v>Số hiệu vật lưu</v>
      </c>
      <c r="D18" s="5" t="str">
        <f>IFERROR(VLOOKUP(表1[[#This Row],[中文]],[1]!表1_3[[中文]:[翻译后文本]],2,FALSE),"VN."&amp;表1[[#This Row],[中文]])</f>
        <v>Số hiệu vật lưu</v>
      </c>
    </row>
    <row r="19" spans="1:4" x14ac:dyDescent="0.15">
      <c r="A19" s="5" t="s">
        <v>51</v>
      </c>
      <c r="B19" s="5" t="s">
        <v>52</v>
      </c>
      <c r="C19" s="5" t="str">
        <f>IFERROR(VLOOKUP(表1[[#This Row],[中文]],[1]!表1_3[[中文]:[翻译后文本]],2,FALSE),"EN."&amp;表1[[#This Row],[中文]])</f>
        <v>Chuyển phát nhanh</v>
      </c>
      <c r="D19" s="5" t="str">
        <f>IFERROR(VLOOKUP(表1[[#This Row],[中文]],[1]!表1_3[[中文]:[翻译后文本]],2,FALSE),"VN."&amp;表1[[#This Row],[中文]])</f>
        <v>Chuyển phát nhanh</v>
      </c>
    </row>
    <row r="20" spans="1:4" x14ac:dyDescent="0.15">
      <c r="A20" s="5" t="s">
        <v>53</v>
      </c>
      <c r="B20" s="5" t="s">
        <v>54</v>
      </c>
      <c r="C20" s="5" t="str">
        <f>IFERROR(VLOOKUP(表1[[#This Row],[中文]],[1]!表1_3[[中文]:[翻译后文本]],2,FALSE),"EN."&amp;表1[[#This Row],[中文]])</f>
        <v>Địa chỉ nhận hàng</v>
      </c>
      <c r="D20" s="5" t="str">
        <f>IFERROR(VLOOKUP(表1[[#This Row],[中文]],[1]!表1_3[[中文]:[翻译后文本]],2,FALSE),"VN."&amp;表1[[#This Row],[中文]])</f>
        <v>Địa chỉ nhận hàng</v>
      </c>
    </row>
    <row r="21" spans="1:4" x14ac:dyDescent="0.15">
      <c r="A21" s="5" t="s">
        <v>55</v>
      </c>
      <c r="B21" s="5" t="s">
        <v>56</v>
      </c>
      <c r="C21" s="5" t="str">
        <f>IFERROR(VLOOKUP(表1[[#This Row],[中文]],[1]!表1_3[[中文]:[翻译后文本]],2,FALSE),"EN."&amp;表1[[#This Row],[中文]])</f>
        <v>Người nhận</v>
      </c>
      <c r="D21" s="5" t="str">
        <f>IFERROR(VLOOKUP(表1[[#This Row],[中文]],[1]!表1_3[[中文]:[翻译后文本]],2,FALSE),"VN."&amp;表1[[#This Row],[中文]])</f>
        <v>Người nhận</v>
      </c>
    </row>
    <row r="22" spans="1:4" x14ac:dyDescent="0.15">
      <c r="A22" s="5" t="s">
        <v>57</v>
      </c>
      <c r="B22" s="5" t="s">
        <v>58</v>
      </c>
      <c r="C22" s="5" t="str">
        <f>IFERROR(VLOOKUP(表1[[#This Row],[中文]],[1]!表1_3[[中文]:[翻译后文本]],2,FALSE),"EN."&amp;表1[[#This Row],[中文]])</f>
        <v>ĐT liên hệ</v>
      </c>
      <c r="D22" s="5" t="str">
        <f>IFERROR(VLOOKUP(表1[[#This Row],[中文]],[1]!表1_3[[中文]:[翻译后文本]],2,FALSE),"VN."&amp;表1[[#This Row],[中文]])</f>
        <v>ĐT liên hệ</v>
      </c>
    </row>
    <row r="23" spans="1:4" x14ac:dyDescent="0.15">
      <c r="A23" s="5" t="s">
        <v>59</v>
      </c>
      <c r="B23" s="5" t="s">
        <v>60</v>
      </c>
      <c r="C23" s="5" t="str">
        <f>IFERROR(VLOOKUP(表1[[#This Row],[中文]],[1]!表1_3[[中文]:[翻译后文本]],2,FALSE),"EN."&amp;表1[[#This Row],[中文]])</f>
        <v>Số thẻ</v>
      </c>
      <c r="D23" s="5" t="str">
        <f>IFERROR(VLOOKUP(表1[[#This Row],[中文]],[1]!表1_3[[中文]:[翻译后文本]],2,FALSE),"VN."&amp;表1[[#This Row],[中文]])</f>
        <v>Số thẻ</v>
      </c>
    </row>
    <row r="24" spans="1:4" x14ac:dyDescent="0.15">
      <c r="A24" s="5" t="s">
        <v>61</v>
      </c>
      <c r="B24" s="5" t="s">
        <v>62</v>
      </c>
      <c r="C24" s="5" t="str">
        <f>IFERROR(VLOOKUP(表1[[#This Row],[中文]],[1]!表1_3[[中文]:[翻译后文本]],2,FALSE),"EN."&amp;表1[[#This Row],[中文]])</f>
        <v xml:space="preserve">Mật mã </v>
      </c>
      <c r="D24" s="5" t="str">
        <f>IFERROR(VLOOKUP(表1[[#This Row],[中文]],[1]!表1_3[[中文]:[翻译后文本]],2,FALSE),"VN."&amp;表1[[#This Row],[中文]])</f>
        <v xml:space="preserve">Mật mã </v>
      </c>
    </row>
    <row r="25" spans="1:4" x14ac:dyDescent="0.15">
      <c r="A25" s="5" t="s">
        <v>63</v>
      </c>
      <c r="B25" s="5" t="s">
        <v>64</v>
      </c>
      <c r="C25" s="5" t="str">
        <f>IFERROR(VLOOKUP(表1[[#This Row],[中文]],[1]!表1_3[[中文]:[翻译后文本]],2,FALSE),"EN."&amp;表1[[#This Row],[中文]])</f>
        <v>Huỷ Đơn</v>
      </c>
      <c r="D25" s="5" t="str">
        <f>IFERROR(VLOOKUP(表1[[#This Row],[中文]],[1]!表1_3[[中文]:[翻译后文本]],2,FALSE),"VN."&amp;表1[[#This Row],[中文]])</f>
        <v>Huỷ Đơn</v>
      </c>
    </row>
    <row r="26" spans="1:4" x14ac:dyDescent="0.15">
      <c r="A26" s="5" t="s">
        <v>65</v>
      </c>
      <c r="B26" s="5" t="s">
        <v>66</v>
      </c>
      <c r="C26" s="5" t="str">
        <f>IFERROR(VLOOKUP(表1[[#This Row],[中文]],[1]!表1_3[[中文]:[翻译后文本]],2,FALSE),"EN."&amp;表1[[#This Row],[中文]])</f>
        <v>Sau khi đổi sẽ xử lý trong 1-3 ngày làm việc</v>
      </c>
      <c r="D26" s="5" t="str">
        <f>IFERROR(VLOOKUP(表1[[#This Row],[中文]],[1]!表1_3[[中文]:[翻译后文本]],2,FALSE),"VN."&amp;表1[[#This Row],[中文]])</f>
        <v>Sau khi đổi sẽ xử lý trong 1-3 ngày làm việc</v>
      </c>
    </row>
    <row r="27" spans="1:4" x14ac:dyDescent="0.15">
      <c r="A27" s="5" t="s">
        <v>67</v>
      </c>
      <c r="B27" s="5" t="s">
        <v>68</v>
      </c>
      <c r="C27" s="5" t="str">
        <f>IFERROR(VLOOKUP(表1[[#This Row],[中文]],[1]!表1_3[[中文]:[翻译后文本]],2,FALSE),"EN."&amp;表1[[#This Row],[中文]])</f>
        <v xml:space="preserve">Nhận </v>
      </c>
      <c r="D27" s="5" t="str">
        <f>IFERROR(VLOOKUP(表1[[#This Row],[中文]],[1]!表1_3[[中文]:[翻译后文本]],2,FALSE),"VN."&amp;表1[[#This Row],[中文]])</f>
        <v xml:space="preserve">Nhận </v>
      </c>
    </row>
    <row r="28" spans="1:4" x14ac:dyDescent="0.15">
      <c r="A28" s="5" t="s">
        <v>69</v>
      </c>
      <c r="B28" s="5" t="s">
        <v>70</v>
      </c>
      <c r="C28" s="5" t="str">
        <f>IFERROR(VLOOKUP(表1[[#This Row],[中文]],[1]!表1_3[[中文]:[翻译后文本]],2,FALSE),"EN."&amp;表1[[#This Row],[中文]])</f>
        <v>Trống</v>
      </c>
      <c r="D28" s="5" t="str">
        <f>IFERROR(VLOOKUP(表1[[#This Row],[中文]],[1]!表1_3[[中文]:[翻译后文本]],2,FALSE),"VN."&amp;表1[[#This Row],[中文]])</f>
        <v>Trống</v>
      </c>
    </row>
    <row r="29" spans="1:4" x14ac:dyDescent="0.15">
      <c r="A29" s="5" t="s">
        <v>71</v>
      </c>
      <c r="B29" s="5" t="s">
        <v>72</v>
      </c>
      <c r="C29" s="5" t="str">
        <f>IFERROR(VLOOKUP(表1[[#This Row],[中文]],[1]!表1_3[[中文]:[翻译后文本]],2,FALSE),"EN."&amp;表1[[#This Row],[中文]])</f>
        <v xml:space="preserve">Đơn hàng </v>
      </c>
      <c r="D29" s="5" t="str">
        <f>IFERROR(VLOOKUP(表1[[#This Row],[中文]],[1]!表1_3[[中文]:[翻译后文本]],2,FALSE),"VN."&amp;表1[[#This Row],[中文]])</f>
        <v xml:space="preserve">Đơn hàng </v>
      </c>
    </row>
    <row r="30" spans="1:4" x14ac:dyDescent="0.15">
      <c r="A30" s="5" t="s">
        <v>73</v>
      </c>
      <c r="B30" s="5" t="s">
        <v>74</v>
      </c>
      <c r="C30" s="5" t="str">
        <f>IFERROR(VLOOKUP(表1[[#This Row],[中文]],[1]!表1_3[[中文]:[翻译后文本]],2,FALSE),"EN."&amp;表1[[#This Row],[中文]])</f>
        <v>Tra cứu chi tiết</v>
      </c>
      <c r="D30" s="5" t="str">
        <f>IFERROR(VLOOKUP(表1[[#This Row],[中文]],[1]!表1_3[[中文]:[翻译后文本]],2,FALSE),"VN."&amp;表1[[#This Row],[中文]])</f>
        <v>Tra cứu chi tiết</v>
      </c>
    </row>
    <row r="31" spans="1:4" x14ac:dyDescent="0.15">
      <c r="A31" s="5" t="s">
        <v>75</v>
      </c>
      <c r="B31" s="5" t="s">
        <v>76</v>
      </c>
      <c r="C31" s="5" t="str">
        <f>IFERROR(VLOOKUP(表1[[#This Row],[中文]],[1]!表1_3[[中文]:[翻译后文本]],2,FALSE),"EN."&amp;表1[[#This Row],[中文]])</f>
        <v xml:space="preserve">Vật phẩm đổi: </v>
      </c>
      <c r="D31" s="5" t="str">
        <f>IFERROR(VLOOKUP(表1[[#This Row],[中文]],[1]!表1_3[[中文]:[翻译后文本]],2,FALSE),"VN."&amp;表1[[#This Row],[中文]])</f>
        <v xml:space="preserve">Vật phẩm đổi: </v>
      </c>
    </row>
    <row r="32" spans="1:4" x14ac:dyDescent="0.15">
      <c r="A32" s="5" t="s">
        <v>77</v>
      </c>
      <c r="B32" s="5" t="s">
        <v>78</v>
      </c>
      <c r="C32" s="5" t="str">
        <f>IFERROR(VLOOKUP(表1[[#This Row],[中文]],[1]!表1_3[[中文]:[翻译后文本]],2,FALSE),"EN."&amp;表1[[#This Row],[中文]])</f>
        <v>Nâng tỷ lệ Hit bắn cá 1.6 lần \nBắn 1200 lần giảm dần đến x1</v>
      </c>
      <c r="D32" s="5" t="str">
        <f>IFERROR(VLOOKUP(表1[[#This Row],[中文]],[1]!表1_3[[中文]:[翻译后文本]],2,FALSE),"VN."&amp;表1[[#This Row],[中文]])</f>
        <v>Nâng tỷ lệ Hit bắn cá 1.6 lần \nBắn 1200 lần giảm dần đến x1</v>
      </c>
    </row>
    <row r="33" spans="1:4" x14ac:dyDescent="0.15">
      <c r="A33" s="5" t="s">
        <v>79</v>
      </c>
      <c r="B33" s="5" t="s">
        <v>80</v>
      </c>
      <c r="C33" s="5" t="str">
        <f>IFERROR(VLOOKUP(表1[[#This Row],[中文]],[1]!表1_3[[中文]:[翻译后文本]],2,FALSE),"EN."&amp;表1[[#This Row],[中文]])</f>
        <v>Nâng tỷ lệ Hit bắn cá 2 lần \nBắn 1200 lần giảm dần đến x1</v>
      </c>
      <c r="D33" s="5" t="str">
        <f>IFERROR(VLOOKUP(表1[[#This Row],[中文]],[1]!表1_3[[中文]:[翻译后文本]],2,FALSE),"VN."&amp;表1[[#This Row],[中文]])</f>
        <v>Nâng tỷ lệ Hit bắn cá 2 lần \nBắn 1200 lần giảm dần đến x1</v>
      </c>
    </row>
    <row r="34" spans="1:4" x14ac:dyDescent="0.15">
      <c r="A34" s="5" t="s">
        <v>81</v>
      </c>
      <c r="B34" s="5" t="s">
        <v>82</v>
      </c>
      <c r="C34" s="5" t="str">
        <f>IFERROR(VLOOKUP(表1[[#This Row],[中文]],[1]!表1_3[[中文]:[翻译后文本]],2,FALSE),"EN."&amp;表1[[#This Row],[中文]])</f>
        <v>Vô hiệu đối với Pháo x 500</v>
      </c>
      <c r="D34" s="5" t="str">
        <f>IFERROR(VLOOKUP(表1[[#This Row],[中文]],[1]!表1_3[[中文]:[翻译后文本]],2,FALSE),"VN."&amp;表1[[#This Row],[中文]])</f>
        <v>Vô hiệu đối với Pháo x 500</v>
      </c>
    </row>
    <row r="35" spans="1:4" x14ac:dyDescent="0.15">
      <c r="A35" s="5" t="s">
        <v>83</v>
      </c>
      <c r="B35" s="5" t="s">
        <v>84</v>
      </c>
      <c r="C35" s="5" t="str">
        <f>IFERROR(VLOOKUP(表1[[#This Row],[中文]],[1]!表1_3[[中文]:[翻译后文本]],2,FALSE),"EN."&amp;表1[[#This Row],[中文]])</f>
        <v>Vô hiệu đối với Pháo x 1000</v>
      </c>
      <c r="D35" s="5" t="str">
        <f>IFERROR(VLOOKUP(表1[[#This Row],[中文]],[1]!表1_3[[中文]:[翻译后文本]],2,FALSE),"VN."&amp;表1[[#This Row],[中文]])</f>
        <v>Vô hiệu đối với Pháo x 1000</v>
      </c>
    </row>
    <row r="36" spans="1:4" x14ac:dyDescent="0.15">
      <c r="A36" s="5" t="s">
        <v>85</v>
      </c>
      <c r="B36" s="5" t="s">
        <v>86</v>
      </c>
      <c r="C36" s="5" t="str">
        <f>IFERROR(VLOOKUP(表1[[#This Row],[中文]],[1]!表1_3[[中文]:[翻译后文本]],2,FALSE),"EN."&amp;表1[[#This Row],[中文]])</f>
        <v>￥1</v>
      </c>
      <c r="D36" s="5" t="str">
        <f>IFERROR(VLOOKUP(表1[[#This Row],[中文]],[1]!表1_3[[中文]:[翻译后文本]],2,FALSE),"VN."&amp;表1[[#This Row],[中文]])</f>
        <v>￥1</v>
      </c>
    </row>
    <row r="37" spans="1:4" x14ac:dyDescent="0.15">
      <c r="A37" s="5" t="s">
        <v>87</v>
      </c>
      <c r="B37" s="5" t="s">
        <v>88</v>
      </c>
      <c r="C37" s="5" t="str">
        <f>IFERROR(VLOOKUP(表1[[#This Row],[中文]],[1]!表1_3[[中文]:[翻译后文本]],2,FALSE),"EN."&amp;表1[[#This Row],[中文]])</f>
        <v>￥10</v>
      </c>
      <c r="D37" s="5" t="str">
        <f>IFERROR(VLOOKUP(表1[[#This Row],[中文]],[1]!表1_3[[中文]:[翻译后文本]],2,FALSE),"VN."&amp;表1[[#This Row],[中文]])</f>
        <v>￥10</v>
      </c>
    </row>
    <row r="38" spans="1:4" x14ac:dyDescent="0.15">
      <c r="A38" s="5" t="s">
        <v>89</v>
      </c>
      <c r="B38" s="5" t="s">
        <v>90</v>
      </c>
      <c r="C38" s="5" t="str">
        <f>IFERROR(VLOOKUP(表1[[#This Row],[中文]],[1]!表1_3[[中文]:[翻译后文本]],2,FALSE),"EN."&amp;表1[[#This Row],[中文]])</f>
        <v>Quản trị 《Thợ Săn Cá 》</v>
      </c>
      <c r="D38" s="5" t="str">
        <f>IFERROR(VLOOKUP(表1[[#This Row],[中文]],[1]!表1_3[[中文]:[翻译后文本]],2,FALSE),"VN."&amp;表1[[#This Row],[中文]])</f>
        <v>Quản trị 《Thợ Săn Cá 》</v>
      </c>
    </row>
    <row r="39" spans="1:4" x14ac:dyDescent="0.15">
      <c r="A39" s="5" t="s">
        <v>91</v>
      </c>
      <c r="B39" s="5" t="s">
        <v>92</v>
      </c>
      <c r="C39" s="5" t="str">
        <f>IFERROR(VLOOKUP(表1[[#This Row],[中文]],[1]!表1_3[[中文]:[翻译后文本]],2,FALSE),"EN."&amp;表1[[#This Row],[中文]])</f>
        <v>Có thể để lại ý kiến ở bên phải, chúng tôi sẽ tiếp thu ý kiến, và có phần quà.</v>
      </c>
      <c r="D39" s="5" t="str">
        <f>IFERROR(VLOOKUP(表1[[#This Row],[中文]],[1]!表1_3[[中文]:[翻译后文本]],2,FALSE),"VN."&amp;表1[[#This Row],[中文]])</f>
        <v>Có thể để lại ý kiến ở bên phải, chúng tôi sẽ tiếp thu ý kiến, và có phần quà.</v>
      </c>
    </row>
    <row r="40" spans="1:4" x14ac:dyDescent="0.15">
      <c r="A40" s="5" t="s">
        <v>93</v>
      </c>
      <c r="B40" s="5" t="s">
        <v>94</v>
      </c>
      <c r="C40" s="5" t="str">
        <f>IFERROR(VLOOKUP(表1[[#This Row],[中文]],[1]!表1_3[[中文]:[翻译后文本]],2,FALSE),"EN."&amp;表1[[#This Row],[中文]])</f>
        <v>Gửi</v>
      </c>
      <c r="D40" s="5" t="str">
        <f>IFERROR(VLOOKUP(表1[[#This Row],[中文]],[1]!表1_3[[中文]:[翻译后文本]],2,FALSE),"VN."&amp;表1[[#This Row],[中文]])</f>
        <v>Gửi</v>
      </c>
    </row>
    <row r="41" spans="1:4" x14ac:dyDescent="0.15">
      <c r="A41" s="5" t="s">
        <v>95</v>
      </c>
      <c r="B41" s="5" t="s">
        <v>96</v>
      </c>
      <c r="C41" s="5" t="str">
        <f>IFERROR(VLOOKUP(表1[[#This Row],[中文]],[1]!表1_3[[中文]:[翻译后文本]],2,FALSE),"EN."&amp;表1[[#This Row],[中文]])</f>
        <v>Mỗi tuần chia sẻ 1 lần</v>
      </c>
      <c r="D41" s="5" t="str">
        <f>IFERROR(VLOOKUP(表1[[#This Row],[中文]],[1]!表1_3[[中文]:[翻译后文本]],2,FALSE),"VN."&amp;表1[[#This Row],[中文]])</f>
        <v>Mỗi tuần chia sẻ 1 lần</v>
      </c>
    </row>
    <row r="42" spans="1:4" x14ac:dyDescent="0.15">
      <c r="A42" s="5" t="s">
        <v>97</v>
      </c>
      <c r="B42" s="5" t="s">
        <v>98</v>
      </c>
      <c r="C42" s="5" t="str">
        <f>IFERROR(VLOOKUP(表1[[#This Row],[中文]],[1]!表1_3[[中文]:[翻译后文本]],2,FALSE),"EN."&amp;表1[[#This Row],[中文]])</f>
        <v xml:space="preserve">Nhận </v>
      </c>
      <c r="D42" s="5" t="str">
        <f>IFERROR(VLOOKUP(表1[[#This Row],[中文]],[1]!表1_3[[中文]:[翻译后文本]],2,FALSE),"VN."&amp;表1[[#This Row],[中文]])</f>
        <v xml:space="preserve">Nhận </v>
      </c>
    </row>
    <row r="43" spans="1:4" x14ac:dyDescent="0.15">
      <c r="A43" s="5" t="s">
        <v>99</v>
      </c>
      <c r="B43" s="5" t="s">
        <v>100</v>
      </c>
      <c r="C43" s="5" t="str">
        <f>IFERROR(VLOOKUP(表1[[#This Row],[中文]],[1]!表1_3[[中文]:[翻译后文本]],2,FALSE),"EN."&amp;表1[[#This Row],[中文]])</f>
        <v xml:space="preserve">Nạp </v>
      </c>
      <c r="D43" s="5" t="str">
        <f>IFERROR(VLOOKUP(表1[[#This Row],[中文]],[1]!表1_3[[中文]:[翻译后文本]],2,FALSE),"VN."&amp;表1[[#This Row],[中文]])</f>
        <v xml:space="preserve">Nạp </v>
      </c>
    </row>
    <row r="44" spans="1:4" x14ac:dyDescent="0.15">
      <c r="A44" s="5" t="s">
        <v>101</v>
      </c>
      <c r="B44" s="5" t="s">
        <v>102</v>
      </c>
      <c r="C44" s="5" t="str">
        <f>IFERROR(VLOOKUP(表1[[#This Row],[中文]],[1]!表1_3[[中文]:[翻译后文本]],2,FALSE),"EN."&amp;表1[[#This Row],[中文]])</f>
        <v>Đã thu được cá phần thưởng!</v>
      </c>
      <c r="D44" s="5" t="str">
        <f>IFERROR(VLOOKUP(表1[[#This Row],[中文]],[1]!表1_3[[中文]:[翻译后文本]],2,FALSE),"VN."&amp;表1[[#This Row],[中文]])</f>
        <v>Đã thu được cá phần thưởng!</v>
      </c>
    </row>
    <row r="45" spans="1:4" x14ac:dyDescent="0.15">
      <c r="A45" s="5" t="s">
        <v>103</v>
      </c>
      <c r="B45" s="5" t="s">
        <v>104</v>
      </c>
      <c r="C45" s="5" t="str">
        <f>IFERROR(VLOOKUP(表1[[#This Row],[中文]],[1]!表1_3[[中文]:[翻译后文本]],2,FALSE),"EN."&amp;表1[[#This Row],[中文]])</f>
        <v>Tiếp tục chơi</v>
      </c>
      <c r="D45" s="5" t="str">
        <f>IFERROR(VLOOKUP(表1[[#This Row],[中文]],[1]!表1_3[[中文]:[翻译后文本]],2,FALSE),"VN."&amp;表1[[#This Row],[中文]])</f>
        <v>Tiếp tục chơi</v>
      </c>
    </row>
    <row r="46" spans="1:4" x14ac:dyDescent="0.15">
      <c r="A46" s="5" t="s">
        <v>105</v>
      </c>
      <c r="B46" s="5" t="s">
        <v>106</v>
      </c>
      <c r="C46" s="5" t="str">
        <f>IFERROR(VLOOKUP(表1[[#This Row],[中文]],[1]!表1_3[[中文]:[翻译后文本]],2,FALSE),"EN."&amp;表1[[#This Row],[中文]])</f>
        <v>Tạm rời khỏi</v>
      </c>
      <c r="D46" s="5" t="str">
        <f>IFERROR(VLOOKUP(表1[[#This Row],[中文]],[1]!表1_3[[中文]:[翻译后文本]],2,FALSE),"VN."&amp;表1[[#This Row],[中文]])</f>
        <v>Tạm rời khỏi</v>
      </c>
    </row>
    <row r="47" spans="1:4" x14ac:dyDescent="0.15">
      <c r="A47" s="5" t="s">
        <v>107</v>
      </c>
      <c r="B47" s="5" t="s">
        <v>108</v>
      </c>
      <c r="C47" s="5" t="str">
        <f>IFERROR(VLOOKUP(表1[[#This Row],[中文]],[1]!表1_3[[中文]:[翻译后文本]],2,FALSE),"EN."&amp;表1[[#This Row],[中文]])</f>
        <v xml:space="preserve">Mời 1 bạn nhận được: </v>
      </c>
      <c r="D47" s="5" t="str">
        <f>IFERROR(VLOOKUP(表1[[#This Row],[中文]],[1]!表1_3[[中文]:[翻译后文本]],2,FALSE),"VN."&amp;表1[[#This Row],[中文]])</f>
        <v xml:space="preserve">Mời 1 bạn nhận được: </v>
      </c>
    </row>
    <row r="48" spans="1:4" x14ac:dyDescent="0.15">
      <c r="A48" s="5" t="s">
        <v>109</v>
      </c>
      <c r="B48" s="5" t="s">
        <v>110</v>
      </c>
      <c r="C48" s="5" t="str">
        <f>IFERROR(VLOOKUP(表1[[#This Row],[中文]],[1]!表1_3[[中文]:[翻译后文本]],2,FALSE),"EN."&amp;表1[[#This Row],[中文]])</f>
        <v>Mời bạn lần đầu mỗi ngày có thể nhận quà</v>
      </c>
      <c r="D48" s="5" t="str">
        <f>IFERROR(VLOOKUP(表1[[#This Row],[中文]],[1]!表1_3[[中文]:[翻译后文本]],2,FALSE),"VN."&amp;表1[[#This Row],[中文]])</f>
        <v>Mời bạn lần đầu mỗi ngày có thể nhận quà</v>
      </c>
    </row>
    <row r="49" spans="1:4" x14ac:dyDescent="0.15">
      <c r="A49" s="5" t="s">
        <v>111</v>
      </c>
      <c r="B49" s="5" t="s">
        <v>112</v>
      </c>
      <c r="C49" s="5">
        <f>IFERROR(VLOOKUP(表1[[#This Row],[中文]],[1]!表1_3[[中文]:[翻译后文本]],2,FALSE),"EN."&amp;表1[[#This Row],[中文]])</f>
        <v>0</v>
      </c>
      <c r="D49" s="5">
        <f>IFERROR(VLOOKUP(表1[[#This Row],[中文]],[1]!表1_3[[中文]:[翻译后文本]],2,FALSE),"VN."&amp;表1[[#This Row],[中文]])</f>
        <v>0</v>
      </c>
    </row>
    <row r="50" spans="1:4" x14ac:dyDescent="0.15">
      <c r="A50" s="5" t="s">
        <v>113</v>
      </c>
      <c r="B50" s="5" t="s">
        <v>114</v>
      </c>
      <c r="C50" s="5" t="str">
        <f>IFERROR(VLOOKUP(表1[[#This Row],[中文]],[1]!表1_3[[中文]:[翻译后文本]],2,FALSE),"EN."&amp;表1[[#This Row],[中文]])</f>
        <v xml:space="preserve">Chấp nhận </v>
      </c>
      <c r="D50" s="5" t="str">
        <f>IFERROR(VLOOKUP(表1[[#This Row],[中文]],[1]!表1_3[[中文]:[翻译后文本]],2,FALSE),"VN."&amp;表1[[#This Row],[中文]])</f>
        <v xml:space="preserve">Chấp nhận </v>
      </c>
    </row>
    <row r="51" spans="1:4" x14ac:dyDescent="0.15">
      <c r="A51" s="5" t="s">
        <v>115</v>
      </c>
      <c r="B51" s="5" t="s">
        <v>116</v>
      </c>
      <c r="C51" s="5" t="str">
        <f>IFERROR(VLOOKUP(表1[[#This Row],[中文]],[1]!表1_3[[中文]:[翻译后文本]],2,FALSE),"EN."&amp;表1[[#This Row],[中文]])</f>
        <v>Từ chối</v>
      </c>
      <c r="D51" s="5" t="str">
        <f>IFERROR(VLOOKUP(表1[[#This Row],[中文]],[1]!表1_3[[中文]:[翻译后文本]],2,FALSE),"VN."&amp;表1[[#This Row],[中文]])</f>
        <v>Từ chối</v>
      </c>
    </row>
    <row r="52" spans="1:4" x14ac:dyDescent="0.15">
      <c r="A52" s="5" t="s">
        <v>117</v>
      </c>
      <c r="B52" s="5" t="s">
        <v>118</v>
      </c>
      <c r="C52" s="5" t="str">
        <f>IFERROR(VLOOKUP(表1[[#This Row],[中文]],[1]!表1_3[[中文]:[翻译后文本]],2,FALSE),"EN."&amp;表1[[#This Row],[中文]])</f>
        <v xml:space="preserve">Cấp nhân vật </v>
      </c>
      <c r="D52" s="5" t="str">
        <f>IFERROR(VLOOKUP(表1[[#This Row],[中文]],[1]!表1_3[[中文]:[翻译后文本]],2,FALSE),"VN."&amp;表1[[#This Row],[中文]])</f>
        <v xml:space="preserve">Cấp nhân vật </v>
      </c>
    </row>
    <row r="53" spans="1:4" x14ac:dyDescent="0.15">
      <c r="A53" s="5" t="s">
        <v>119</v>
      </c>
      <c r="B53" s="5" t="s">
        <v>120</v>
      </c>
      <c r="C53" s="5" t="str">
        <f>IFERROR(VLOOKUP(表1[[#This Row],[中文]],[1]!表1_3[[中文]:[翻译后文本]],2,FALSE),"EN."&amp;表1[[#This Row],[中文]])</f>
        <v>Tỷ lệ vũ khí</v>
      </c>
      <c r="D53" s="5" t="str">
        <f>IFERROR(VLOOKUP(表1[[#This Row],[中文]],[1]!表1_3[[中文]:[翻译后文本]],2,FALSE),"VN."&amp;表1[[#This Row],[中文]])</f>
        <v>Tỷ lệ vũ khí</v>
      </c>
    </row>
    <row r="54" spans="1:4" x14ac:dyDescent="0.15">
      <c r="A54" s="5" t="s">
        <v>121</v>
      </c>
      <c r="B54" s="5" t="s">
        <v>122</v>
      </c>
      <c r="C54" s="5" t="str">
        <f>IFERROR(VLOOKUP(表1[[#This Row],[中文]],[1]!表1_3[[中文]:[翻译后文本]],2,FALSE),"EN."&amp;表1[[#This Row],[中文]])</f>
        <v xml:space="preserve">Số Skin có </v>
      </c>
      <c r="D54" s="5" t="str">
        <f>IFERROR(VLOOKUP(表1[[#This Row],[中文]],[1]!表1_3[[中文]:[翻译后文本]],2,FALSE),"VN."&amp;表1[[#This Row],[中文]])</f>
        <v xml:space="preserve">Số Skin có </v>
      </c>
    </row>
    <row r="55" spans="1:4" x14ac:dyDescent="0.15">
      <c r="A55" s="5" t="s">
        <v>123</v>
      </c>
      <c r="B55" s="5" t="s">
        <v>124</v>
      </c>
      <c r="C55" s="5" t="str">
        <f>IFERROR(VLOOKUP(表1[[#This Row],[中文]],[1]!表1_3[[中文]:[翻译后文本]],2,FALSE),"EN."&amp;表1[[#This Row],[中文]])</f>
        <v>Vòng Xếp hạng</v>
      </c>
      <c r="D55" s="5" t="str">
        <f>IFERROR(VLOOKUP(表1[[#This Row],[中文]],[1]!表1_3[[中文]:[翻译后文本]],2,FALSE),"VN."&amp;表1[[#This Row],[中文]])</f>
        <v>Vòng Xếp hạng</v>
      </c>
    </row>
    <row r="56" spans="1:4" x14ac:dyDescent="0.15">
      <c r="A56" s="5" t="s">
        <v>125</v>
      </c>
      <c r="B56" s="5" t="s">
        <v>126</v>
      </c>
      <c r="C56" s="5" t="str">
        <f>IFERROR(VLOOKUP(表1[[#This Row],[中文]],[1]!表1_3[[中文]:[翻译后文本]],2,FALSE),"EN."&amp;表1[[#This Row],[中文]])</f>
        <v xml:space="preserve">Thuộc về Tỉnh </v>
      </c>
      <c r="D56" s="5" t="str">
        <f>IFERROR(VLOOKUP(表1[[#This Row],[中文]],[1]!表1_3[[中文]:[翻译后文本]],2,FALSE),"VN."&amp;表1[[#This Row],[中文]])</f>
        <v xml:space="preserve">Thuộc về Tỉnh </v>
      </c>
    </row>
    <row r="57" spans="1:4" x14ac:dyDescent="0.15">
      <c r="A57" s="5" t="s">
        <v>127</v>
      </c>
      <c r="B57" s="5" t="s">
        <v>128</v>
      </c>
      <c r="C57" s="5" t="str">
        <f>IFERROR(VLOOKUP(表1[[#This Row],[中文]],[1]!表1_3[[中文]:[翻译后文本]],2,FALSE),"EN."&amp;表1[[#This Row],[中文]])</f>
        <v xml:space="preserve">Boa </v>
      </c>
      <c r="D57" s="5" t="str">
        <f>IFERROR(VLOOKUP(表1[[#This Row],[中文]],[1]!表1_3[[中文]:[翻译后文本]],2,FALSE),"VN."&amp;表1[[#This Row],[中文]])</f>
        <v xml:space="preserve">Boa </v>
      </c>
    </row>
    <row r="58" spans="1:4" x14ac:dyDescent="0.15">
      <c r="A58" s="5" t="s">
        <v>129</v>
      </c>
      <c r="B58" s="5" t="s">
        <v>130</v>
      </c>
      <c r="C58" s="5" t="str">
        <f>IFERROR(VLOOKUP(表1[[#This Row],[中文]],[1]!表1_3[[中文]:[翻译后文本]],2,FALSE),"EN."&amp;表1[[#This Row],[中文]])</f>
        <v xml:space="preserve">Thêm bạn </v>
      </c>
      <c r="D58" s="5" t="str">
        <f>IFERROR(VLOOKUP(表1[[#This Row],[中文]],[1]!表1_3[[中文]:[翻译后文本]],2,FALSE),"VN."&amp;表1[[#This Row],[中文]])</f>
        <v xml:space="preserve">Thêm bạn </v>
      </c>
    </row>
    <row r="59" spans="1:4" x14ac:dyDescent="0.15">
      <c r="A59" s="5" t="s">
        <v>131</v>
      </c>
      <c r="B59" s="5" t="s">
        <v>132</v>
      </c>
      <c r="C59" s="5" t="str">
        <f>IFERROR(VLOOKUP(表1[[#This Row],[中文]],[1]!表1_3[[中文]:[翻译后文本]],2,FALSE),"EN."&amp;表1[[#This Row],[中文]])</f>
        <v>Gửi</v>
      </c>
      <c r="D59" s="5" t="str">
        <f>IFERROR(VLOOKUP(表1[[#This Row],[中文]],[1]!表1_3[[中文]:[翻译后文本]],2,FALSE),"VN."&amp;表1[[#This Row],[中文]])</f>
        <v>Gửi</v>
      </c>
    </row>
    <row r="60" spans="1:4" x14ac:dyDescent="0.15">
      <c r="A60" s="5" t="s">
        <v>133</v>
      </c>
      <c r="B60" s="5" t="s">
        <v>134</v>
      </c>
      <c r="C60" s="5" t="str">
        <f>IFERROR(VLOOKUP(表1[[#This Row],[中文]],[1]!表1_3[[中文]:[翻译后文本]],2,FALSE),"EN."&amp;表1[[#This Row],[中文]])</f>
        <v>3 ngày sau có thể nhận</v>
      </c>
      <c r="D60" s="5" t="str">
        <f>IFERROR(VLOOKUP(表1[[#This Row],[中文]],[1]!表1_3[[中文]:[翻译后文本]],2,FALSE),"VN."&amp;表1[[#This Row],[中文]])</f>
        <v>3 ngày sau có thể nhận</v>
      </c>
    </row>
    <row r="61" spans="1:4" x14ac:dyDescent="0.15">
      <c r="A61" s="5" t="s">
        <v>135</v>
      </c>
      <c r="B61" s="5" t="s">
        <v>136</v>
      </c>
      <c r="C61" s="5" t="str">
        <f>IFERROR(VLOOKUP(表1[[#This Row],[中文]],[1]!表1_3[[中文]:[翻译后文本]],2,FALSE),"EN."&amp;表1[[#This Row],[中文]])</f>
        <v xml:space="preserve">Mị Lực: </v>
      </c>
      <c r="D61" s="5" t="str">
        <f>IFERROR(VLOOKUP(表1[[#This Row],[中文]],[1]!表1_3[[中文]:[翻译后文本]],2,FALSE),"VN."&amp;表1[[#This Row],[中文]])</f>
        <v xml:space="preserve">Mị Lực: </v>
      </c>
    </row>
    <row r="62" spans="1:4" x14ac:dyDescent="0.15">
      <c r="A62" s="5" t="s">
        <v>137</v>
      </c>
      <c r="B62" s="5" t="s">
        <v>138</v>
      </c>
      <c r="C62" s="5" t="str">
        <f>IFERROR(VLOOKUP(表1[[#This Row],[中文]],[1]!表1_3[[中文]:[翻译后文本]],2,FALSE),"EN."&amp;表1[[#This Row],[中文]])</f>
        <v xml:space="preserve">Nhận Danh hiệu: </v>
      </c>
      <c r="D62" s="5" t="str">
        <f>IFERROR(VLOOKUP(表1[[#This Row],[中文]],[1]!表1_3[[中文]:[翻译后文本]],2,FALSE),"VN."&amp;表1[[#This Row],[中文]])</f>
        <v xml:space="preserve">Nhận Danh hiệu: </v>
      </c>
    </row>
    <row r="63" spans="1:4" x14ac:dyDescent="0.15">
      <c r="A63" s="5" t="s">
        <v>139</v>
      </c>
      <c r="B63" s="5" t="s">
        <v>140</v>
      </c>
      <c r="C63" s="5" t="str">
        <f>IFERROR(VLOOKUP(表1[[#This Row],[中文]],[1]!表1_3[[中文]:[翻译后文本]],2,FALSE),"EN."&amp;表1[[#This Row],[中文]])</f>
        <v>Tra cứu phần thưởng xếp hạng</v>
      </c>
      <c r="D63" s="5" t="str">
        <f>IFERROR(VLOOKUP(表1[[#This Row],[中文]],[1]!表1_3[[中文]:[翻译后文本]],2,FALSE),"VN."&amp;表1[[#This Row],[中文]])</f>
        <v>Tra cứu phần thưởng xếp hạng</v>
      </c>
    </row>
    <row r="64" spans="1:4" x14ac:dyDescent="0.15">
      <c r="A64" s="5" t="s">
        <v>141</v>
      </c>
      <c r="B64" s="5" t="s">
        <v>142</v>
      </c>
      <c r="C64" s="5" t="str">
        <f>IFERROR(VLOOKUP(表1[[#This Row],[中文]],[1]!表1_3[[中文]:[翻译后文本]],2,FALSE),"EN."&amp;表1[[#This Row],[中文]])</f>
        <v>Đã thả</v>
      </c>
      <c r="D64" s="5" t="str">
        <f>IFERROR(VLOOKUP(表1[[#This Row],[中文]],[1]!表1_3[[中文]:[翻译后文本]],2,FALSE),"VN."&amp;表1[[#This Row],[中文]])</f>
        <v>Đã thả</v>
      </c>
    </row>
    <row r="65" spans="1:4" x14ac:dyDescent="0.15">
      <c r="A65" s="5" t="s">
        <v>143</v>
      </c>
      <c r="B65" s="5" t="s">
        <v>144</v>
      </c>
      <c r="C65" s="5" t="str">
        <f>IFERROR(VLOOKUP(表1[[#This Row],[中文]],[1]!表1_3[[中文]:[翻译后文本]],2,FALSE),"EN."&amp;表1[[#This Row],[中文]])</f>
        <v>Trại liên kết</v>
      </c>
      <c r="D65" s="5" t="str">
        <f>IFERROR(VLOOKUP(表1[[#This Row],[中文]],[1]!表1_3[[中文]:[翻译后文本]],2,FALSE),"VN."&amp;表1[[#This Row],[中文]])</f>
        <v>Trại liên kết</v>
      </c>
    </row>
    <row r="66" spans="1:4" x14ac:dyDescent="0.15">
      <c r="A66" s="5" t="s">
        <v>145</v>
      </c>
      <c r="B66" s="5" t="s">
        <v>146</v>
      </c>
      <c r="C66" s="5" t="str">
        <f>IFERROR(VLOOKUP(表1[[#This Row],[中文]],[1]!表1_3[[中文]:[翻译后文本]],2,FALSE),"EN."&amp;表1[[#This Row],[中文]])</f>
        <v>Thời gian sản sinh</v>
      </c>
      <c r="D66" s="5" t="str">
        <f>IFERROR(VLOOKUP(表1[[#This Row],[中文]],[1]!表1_3[[中文]:[翻译后文本]],2,FALSE),"VN."&amp;表1[[#This Row],[中文]])</f>
        <v>Thời gian sản sinh</v>
      </c>
    </row>
    <row r="67" spans="1:4" x14ac:dyDescent="0.15">
      <c r="A67" s="5" t="s">
        <v>147</v>
      </c>
      <c r="B67" s="5" t="s">
        <v>148</v>
      </c>
      <c r="C67" s="5" t="str">
        <f>IFERROR(VLOOKUP(表1[[#This Row],[中文]],[1]!表1_3[[中文]:[翻译后文本]],2,FALSE),"EN."&amp;表1[[#This Row],[中文]])</f>
        <v>Sản lượng hiện tại</v>
      </c>
      <c r="D67" s="5" t="str">
        <f>IFERROR(VLOOKUP(表1[[#This Row],[中文]],[1]!表1_3[[中文]:[翻译后文本]],2,FALSE),"VN."&amp;表1[[#This Row],[中文]])</f>
        <v>Sản lượng hiện tại</v>
      </c>
    </row>
    <row r="68" spans="1:4" x14ac:dyDescent="0.15">
      <c r="A68" s="5" t="s">
        <v>149</v>
      </c>
      <c r="B68" s="5" t="s">
        <v>150</v>
      </c>
      <c r="C68" s="5" t="str">
        <f>IFERROR(VLOOKUP(表1[[#This Row],[中文]],[1]!表1_3[[中文]:[翻译后文本]],2,FALSE),"EN."&amp;表1[[#This Row],[中文]])</f>
        <v>Sản lượng cấp sau</v>
      </c>
      <c r="D68" s="5" t="str">
        <f>IFERROR(VLOOKUP(表1[[#This Row],[中文]],[1]!表1_3[[中文]:[翻译后文本]],2,FALSE),"VN."&amp;表1[[#This Row],[中文]])</f>
        <v>Sản lượng cấp sau</v>
      </c>
    </row>
    <row r="69" spans="1:4" x14ac:dyDescent="0.15">
      <c r="A69" s="5" t="s">
        <v>151</v>
      </c>
      <c r="B69" s="5" t="s">
        <v>152</v>
      </c>
      <c r="C69" s="5" t="str">
        <f>IFERROR(VLOOKUP(表1[[#This Row],[中文]],[1]!表1_3[[中文]:[翻译后文本]],2,FALSE),"EN."&amp;表1[[#This Row],[中文]])</f>
        <v xml:space="preserve">Tăng Mị Lực </v>
      </c>
      <c r="D69" s="5" t="str">
        <f>IFERROR(VLOOKUP(表1[[#This Row],[中文]],[1]!表1_3[[中文]:[翻译后文本]],2,FALSE),"VN."&amp;表1[[#This Row],[中文]])</f>
        <v xml:space="preserve">Tăng Mị Lực </v>
      </c>
    </row>
    <row r="70" spans="1:4" x14ac:dyDescent="0.15">
      <c r="A70" s="5" t="s">
        <v>153</v>
      </c>
      <c r="B70" s="5" t="s">
        <v>154</v>
      </c>
      <c r="C70" s="5" t="str">
        <f>IFERROR(VLOOKUP(表1[[#This Row],[中文]],[1]!表1_3[[中文]:[翻译后文本]],2,FALSE),"EN."&amp;表1[[#This Row],[中文]])</f>
        <v>Mạng thất thường!? Đang kết nối lại...</v>
      </c>
      <c r="D70" s="5" t="str">
        <f>IFERROR(VLOOKUP(表1[[#This Row],[中文]],[1]!表1_3[[中文]:[翻译后文本]],2,FALSE),"VN."&amp;表1[[#This Row],[中文]])</f>
        <v>Mạng thất thường!? Đang kết nối lại...</v>
      </c>
    </row>
    <row r="71" spans="1:4" x14ac:dyDescent="0.15">
      <c r="A71" s="5" t="s">
        <v>155</v>
      </c>
      <c r="B71" s="5" t="s">
        <v>156</v>
      </c>
      <c r="C71" s="5" t="str">
        <f>IFERROR(VLOOKUP(表1[[#This Row],[中文]],[1]!表1_3[[中文]:[翻译后文本]],2,FALSE),"EN."&amp;表1[[#This Row],[中文]])</f>
        <v>Đăng Xuất</v>
      </c>
      <c r="D71" s="5" t="str">
        <f>IFERROR(VLOOKUP(表1[[#This Row],[中文]],[1]!表1_3[[中文]:[翻译后文本]],2,FALSE),"VN."&amp;表1[[#This Row],[中文]])</f>
        <v>Đăng Xuất</v>
      </c>
    </row>
    <row r="72" spans="1:4" x14ac:dyDescent="0.15">
      <c r="A72" s="5" t="s">
        <v>157</v>
      </c>
      <c r="B72" s="5" t="s">
        <v>158</v>
      </c>
      <c r="C72" s="5" t="str">
        <f>IFERROR(VLOOKUP(表1[[#This Row],[中文]],[1]!表1_3[[中文]:[翻译后文本]],2,FALSE),"EN."&amp;表1[[#This Row],[中文]])</f>
        <v>Trống</v>
      </c>
      <c r="D72" s="5" t="str">
        <f>IFERROR(VLOOKUP(表1[[#This Row],[中文]],[1]!表1_3[[中文]:[翻译后文本]],2,FALSE),"VN."&amp;表1[[#This Row],[中文]])</f>
        <v>Trống</v>
      </c>
    </row>
    <row r="73" spans="1:4" x14ac:dyDescent="0.15">
      <c r="A73" s="5" t="s">
        <v>159</v>
      </c>
      <c r="B73" s="5" t="s">
        <v>160</v>
      </c>
      <c r="C73" s="5" t="str">
        <f>IFERROR(VLOOKUP(表1[[#This Row],[中文]],[1]!表1_3[[中文]:[翻译后文本]],2,FALSE),"EN."&amp;表1[[#This Row],[中文]])</f>
        <v>Mở khoá cần</v>
      </c>
      <c r="D73" s="5" t="str">
        <f>IFERROR(VLOOKUP(表1[[#This Row],[中文]],[1]!表1_3[[中文]:[翻译后文本]],2,FALSE),"VN."&amp;表1[[#This Row],[中文]])</f>
        <v>Mở khoá cần</v>
      </c>
    </row>
    <row r="74" spans="1:4" x14ac:dyDescent="0.15">
      <c r="A74" s="5" t="s">
        <v>161</v>
      </c>
      <c r="B74" s="5" t="s">
        <v>162</v>
      </c>
      <c r="C74" s="5" t="str">
        <f>IFERROR(VLOOKUP(表1[[#This Row],[中文]],[1]!表1_3[[中文]:[翻译后文本]],2,FALSE),"EN."&amp;表1[[#This Row],[中文]])</f>
        <v xml:space="preserve">Điểm Thắng: </v>
      </c>
      <c r="D74" s="5" t="str">
        <f>IFERROR(VLOOKUP(表1[[#This Row],[中文]],[1]!表1_3[[中文]:[翻译后文本]],2,FALSE),"VN."&amp;表1[[#This Row],[中文]])</f>
        <v xml:space="preserve">Điểm Thắng: </v>
      </c>
    </row>
    <row r="75" spans="1:4" x14ac:dyDescent="0.15">
      <c r="A75" s="5" t="s">
        <v>163</v>
      </c>
      <c r="B75" s="5" t="s">
        <v>164</v>
      </c>
      <c r="C75" s="5" t="str">
        <f>IFERROR(VLOOKUP(表1[[#This Row],[中文]],[1]!表1_3[[中文]:[翻译后文本]],2,FALSE),"EN."&amp;表1[[#This Row],[中文]])</f>
        <v>Vòng :</v>
      </c>
      <c r="D75" s="5" t="str">
        <f>IFERROR(VLOOKUP(表1[[#This Row],[中文]],[1]!表1_3[[中文]:[翻译后文本]],2,FALSE),"VN."&amp;表1[[#This Row],[中文]])</f>
        <v>Vòng :</v>
      </c>
    </row>
    <row r="76" spans="1:4" x14ac:dyDescent="0.15">
      <c r="A76" s="5" t="s">
        <v>165</v>
      </c>
      <c r="B76" s="5" t="s">
        <v>166</v>
      </c>
      <c r="C76" s="5" t="str">
        <f>IFERROR(VLOOKUP(表1[[#This Row],[中文]],[1]!表1_3[[中文]:[翻译后文本]],2,FALSE),"EN."&amp;表1[[#This Row],[中文]])</f>
        <v xml:space="preserve">Xếp Hạng: </v>
      </c>
      <c r="D76" s="5" t="str">
        <f>IFERROR(VLOOKUP(表1[[#This Row],[中文]],[1]!表1_3[[中文]:[翻译后文本]],2,FALSE),"VN."&amp;表1[[#This Row],[中文]])</f>
        <v xml:space="preserve">Xếp Hạng: </v>
      </c>
    </row>
    <row r="77" spans="1:4" x14ac:dyDescent="0.15">
      <c r="A77" s="5" t="s">
        <v>167</v>
      </c>
      <c r="B77" s="5" t="s">
        <v>168</v>
      </c>
      <c r="C77" s="5" t="str">
        <f>IFERROR(VLOOKUP(表1[[#This Row],[中文]],[1]!表1_3[[中文]:[翻译后文本]],2,FALSE),"EN."&amp;表1[[#This Row],[中文]])</f>
        <v>Đầu mỗi tháng phát thưởng season</v>
      </c>
      <c r="D77" s="5" t="str">
        <f>IFERROR(VLOOKUP(表1[[#This Row],[中文]],[1]!表1_3[[中文]:[翻译后文本]],2,FALSE),"VN."&amp;表1[[#This Row],[中文]])</f>
        <v>Đầu mỗi tháng phát thưởng season</v>
      </c>
    </row>
    <row r="78" spans="1:4" x14ac:dyDescent="0.15">
      <c r="A78" s="5" t="s">
        <v>169</v>
      </c>
      <c r="B78" s="5" t="s">
        <v>170</v>
      </c>
      <c r="C78" s="5" t="str">
        <f>IFERROR(VLOOKUP(表1[[#This Row],[中文]],[1]!表1_3[[中文]:[翻译后文本]],2,FALSE),"EN."&amp;表1[[#This Row],[中文]])</f>
        <v>Mỗi ngày lúc 0 giờ phát thưởng xếp hạng</v>
      </c>
      <c r="D78" s="5" t="str">
        <f>IFERROR(VLOOKUP(表1[[#This Row],[中文]],[1]!表1_3[[中文]:[翻译后文本]],2,FALSE),"VN."&amp;表1[[#This Row],[中文]])</f>
        <v>Mỗi ngày lúc 0 giờ phát thưởng xếp hạng</v>
      </c>
    </row>
    <row r="79" spans="1:4" x14ac:dyDescent="0.15">
      <c r="A79" s="5" t="s">
        <v>171</v>
      </c>
      <c r="B79" s="5" t="s">
        <v>172</v>
      </c>
      <c r="C79" s="5" t="str">
        <f>IFERROR(VLOOKUP(表1[[#This Row],[中文]],[1]!表1_3[[中文]:[翻译后文本]],2,FALSE),"EN."&amp;表1[[#This Row],[中文]])</f>
        <v>Xem phần thưởng</v>
      </c>
      <c r="D79" s="5" t="str">
        <f>IFERROR(VLOOKUP(表1[[#This Row],[中文]],[1]!表1_3[[中文]:[翻译后文本]],2,FALSE),"VN."&amp;表1[[#This Row],[中文]])</f>
        <v>Xem phần thưởng</v>
      </c>
    </row>
    <row r="80" spans="1:4" x14ac:dyDescent="0.15">
      <c r="A80" s="5" t="s">
        <v>173</v>
      </c>
      <c r="B80" s="5" t="s">
        <v>174</v>
      </c>
      <c r="C80" s="5" t="str">
        <f>IFERROR(VLOOKUP(表1[[#This Row],[中文]],[1]!表1_3[[中文]:[翻译后文本]],2,FALSE),"EN."&amp;表1[[#This Row],[中文]])</f>
        <v xml:space="preserve">Logo user </v>
      </c>
      <c r="D80" s="5" t="str">
        <f>IFERROR(VLOOKUP(表1[[#This Row],[中文]],[1]!表1_3[[中文]:[翻译后文本]],2,FALSE),"VN."&amp;表1[[#This Row],[中文]])</f>
        <v xml:space="preserve">Logo user </v>
      </c>
    </row>
    <row r="81" spans="1:4" x14ac:dyDescent="0.15">
      <c r="A81" s="5" t="s">
        <v>175</v>
      </c>
      <c r="B81" s="5" t="s">
        <v>176</v>
      </c>
      <c r="C81" s="5" t="str">
        <f>IFERROR(VLOOKUP(表1[[#This Row],[中文]],[1]!表1_3[[中文]:[翻译后文本]],2,FALSE),"EN."&amp;表1[[#This Row],[中文]])</f>
        <v>Level Súng</v>
      </c>
      <c r="D81" s="5" t="str">
        <f>IFERROR(VLOOKUP(表1[[#This Row],[中文]],[1]!表1_3[[中文]:[翻译后文本]],2,FALSE),"VN."&amp;表1[[#This Row],[中文]])</f>
        <v>Level Súng</v>
      </c>
    </row>
    <row r="82" spans="1:4" x14ac:dyDescent="0.15">
      <c r="A82" s="5" t="s">
        <v>177</v>
      </c>
      <c r="B82" s="5" t="s">
        <v>178</v>
      </c>
      <c r="C82" s="5" t="str">
        <f>IFERROR(VLOOKUP(表1[[#This Row],[中文]],[1]!表1_3[[中文]:[翻译后文本]],2,FALSE),"EN."&amp;表1[[#This Row],[中文]])</f>
        <v>Cấp VIP</v>
      </c>
      <c r="D82" s="5" t="str">
        <f>IFERROR(VLOOKUP(表1[[#This Row],[中文]],[1]!表1_3[[中文]:[翻译后文本]],2,FALSE),"VN."&amp;表1[[#This Row],[中文]])</f>
        <v>Cấp VIP</v>
      </c>
    </row>
    <row r="83" spans="1:4" x14ac:dyDescent="0.15">
      <c r="A83" s="5" t="s">
        <v>179</v>
      </c>
      <c r="B83" s="5" t="s">
        <v>180</v>
      </c>
      <c r="C83" s="5" t="str">
        <f>IFERROR(VLOOKUP(表1[[#This Row],[中文]],[1]!表1_3[[中文]:[翻译后文本]],2,FALSE),"EN."&amp;表1[[#This Row],[中文]])</f>
        <v xml:space="preserve">Điểm Thành tựu: </v>
      </c>
      <c r="D83" s="5" t="str">
        <f>IFERROR(VLOOKUP(表1[[#This Row],[中文]],[1]!表1_3[[中文]:[翻译后文本]],2,FALSE),"VN."&amp;表1[[#This Row],[中文]])</f>
        <v xml:space="preserve">Điểm Thành tựu: </v>
      </c>
    </row>
    <row r="84" spans="1:4" x14ac:dyDescent="0.15">
      <c r="A84" s="5" t="s">
        <v>181</v>
      </c>
      <c r="B84" s="5" t="s">
        <v>182</v>
      </c>
      <c r="C84" s="5" t="str">
        <f>IFERROR(VLOOKUP(表1[[#This Row],[中文]],[1]!表1_3[[中文]:[翻译后文本]],2,FALSE),"EN."&amp;表1[[#This Row],[中文]])</f>
        <v xml:space="preserve">Vàng tối đa </v>
      </c>
      <c r="D84" s="5" t="str">
        <f>IFERROR(VLOOKUP(表1[[#This Row],[中文]],[1]!表1_3[[中文]:[翻译后文本]],2,FALSE),"VN."&amp;表1[[#This Row],[中文]])</f>
        <v xml:space="preserve">Vàng tối đa </v>
      </c>
    </row>
    <row r="85" spans="1:4" x14ac:dyDescent="0.15">
      <c r="A85" s="5" t="s">
        <v>183</v>
      </c>
      <c r="B85" s="5" t="s">
        <v>184</v>
      </c>
      <c r="C85" s="5" t="str">
        <f>IFERROR(VLOOKUP(表1[[#This Row],[中文]],[1]!表1_3[[中文]:[翻译后文本]],2,FALSE),"EN."&amp;表1[[#This Row],[中文]])</f>
        <v>Vị trí hiện tại</v>
      </c>
      <c r="D85" s="5" t="str">
        <f>IFERROR(VLOOKUP(表1[[#This Row],[中文]],[1]!表1_3[[中文]:[翻译后文本]],2,FALSE),"VN."&amp;表1[[#This Row],[中文]])</f>
        <v>Vị trí hiện tại</v>
      </c>
    </row>
    <row r="86" spans="1:4" x14ac:dyDescent="0.15">
      <c r="A86" s="5" t="s">
        <v>185</v>
      </c>
      <c r="B86" s="5" t="s">
        <v>186</v>
      </c>
      <c r="C86" s="5" t="str">
        <f>IFERROR(VLOOKUP(表1[[#This Row],[中文]],[1]!表1_3[[中文]:[翻译后文本]],2,FALSE),"EN."&amp;表1[[#This Row],[中文]])</f>
        <v xml:space="preserve">Trị Mị Lực: </v>
      </c>
      <c r="D86" s="5" t="str">
        <f>IFERROR(VLOOKUP(表1[[#This Row],[中文]],[1]!表1_3[[中文]:[翻译后文本]],2,FALSE),"VN."&amp;表1[[#This Row],[中文]])</f>
        <v xml:space="preserve">Trị Mị Lực: </v>
      </c>
    </row>
    <row r="87" spans="1:4" x14ac:dyDescent="0.15">
      <c r="A87" s="5" t="s">
        <v>187</v>
      </c>
      <c r="B87" s="5" t="s">
        <v>188</v>
      </c>
      <c r="C87" s="5" t="str">
        <f>IFERROR(VLOOKUP(表1[[#This Row],[中文]],[1]!表1_3[[中文]:[翻译后文本]],2,FALSE),"EN."&amp;表1[[#This Row],[中文]])</f>
        <v>Dùng Loa</v>
      </c>
      <c r="D87" s="5" t="str">
        <f>IFERROR(VLOOKUP(表1[[#This Row],[中文]],[1]!表1_3[[中文]:[翻译后文本]],2,FALSE),"VN."&amp;表1[[#This Row],[中文]])</f>
        <v>Dùng Loa</v>
      </c>
    </row>
    <row r="88" spans="1:4" x14ac:dyDescent="0.15">
      <c r="A88" s="5" t="s">
        <v>189</v>
      </c>
      <c r="B88" s="5" t="s">
        <v>190</v>
      </c>
      <c r="C88" s="5" t="str">
        <f>IFERROR(VLOOKUP(表1[[#This Row],[中文]],[1]!表1_3[[中文]:[翻译后文本]],2,FALSE),"EN."&amp;表1[[#This Row],[中文]])</f>
        <v>Hoa Tươi</v>
      </c>
      <c r="D88" s="5" t="str">
        <f>IFERROR(VLOOKUP(表1[[#This Row],[中文]],[1]!表1_3[[中文]:[翻译后文本]],2,FALSE),"VN."&amp;表1[[#This Row],[中文]])</f>
        <v>Hoa Tươi</v>
      </c>
    </row>
    <row r="89" spans="1:4" x14ac:dyDescent="0.15">
      <c r="A89" s="5" t="s">
        <v>191</v>
      </c>
      <c r="B89" s="5" t="s">
        <v>192</v>
      </c>
      <c r="C89" s="5" t="str">
        <f>IFERROR(VLOOKUP(表1[[#This Row],[中文]],[1]!表1_3[[中文]:[翻译后文本]],2,FALSE),"EN."&amp;表1[[#This Row],[中文]])</f>
        <v>Nhạc</v>
      </c>
      <c r="D89" s="5" t="str">
        <f>IFERROR(VLOOKUP(表1[[#This Row],[中文]],[1]!表1_3[[中文]:[翻译后文本]],2,FALSE),"VN."&amp;表1[[#This Row],[中文]])</f>
        <v>Nhạc</v>
      </c>
    </row>
    <row r="90" spans="1:4" x14ac:dyDescent="0.15">
      <c r="A90" s="5" t="s">
        <v>193</v>
      </c>
      <c r="B90" s="5" t="s">
        <v>194</v>
      </c>
      <c r="C90" s="5" t="str">
        <f>IFERROR(VLOOKUP(表1[[#This Row],[中文]],[1]!表1_3[[中文]:[翻译后文本]],2,FALSE),"EN."&amp;表1[[#This Row],[中文]])</f>
        <v>Hiệu ứng</v>
      </c>
      <c r="D90" s="5" t="str">
        <f>IFERROR(VLOOKUP(表1[[#This Row],[中文]],[1]!表1_3[[中文]:[翻译后文本]],2,FALSE),"VN."&amp;表1[[#This Row],[中文]])</f>
        <v>Hiệu ứng</v>
      </c>
    </row>
    <row r="91" spans="1:4" x14ac:dyDescent="0.15">
      <c r="A91" s="5" t="s">
        <v>195</v>
      </c>
      <c r="B91" s="5" t="s">
        <v>196</v>
      </c>
      <c r="C91" s="5" t="str">
        <f>IFERROR(VLOOKUP(表1[[#This Row],[中文]],[1]!表1_3[[中文]:[翻译后文本]],2,FALSE),"EN."&amp;表1[[#This Row],[中文]])</f>
        <v xml:space="preserve">Tỉnh mặc định </v>
      </c>
      <c r="D91" s="5" t="str">
        <f>IFERROR(VLOOKUP(表1[[#This Row],[中文]],[1]!表1_3[[中文]:[翻译后文本]],2,FALSE),"VN."&amp;表1[[#This Row],[中文]])</f>
        <v xml:space="preserve">Tỉnh mặc định </v>
      </c>
    </row>
    <row r="92" spans="1:4" x14ac:dyDescent="0.15">
      <c r="A92" s="5" t="s">
        <v>197</v>
      </c>
      <c r="B92" s="5" t="s">
        <v>198</v>
      </c>
      <c r="C92" s="5" t="str">
        <f>IFERROR(VLOOKUP(表1[[#This Row],[中文]],[1]!表1_3[[中文]:[翻译后文本]],2,FALSE),"EN."&amp;表1[[#This Row],[中文]])</f>
        <v xml:space="preserve">Chọn Tỉnh </v>
      </c>
      <c r="D92" s="5" t="str">
        <f>IFERROR(VLOOKUP(表1[[#This Row],[中文]],[1]!表1_3[[中文]:[翻译后文本]],2,FALSE),"VN."&amp;表1[[#This Row],[中文]])</f>
        <v xml:space="preserve">Chọn Tỉnh </v>
      </c>
    </row>
    <row r="93" spans="1:4" x14ac:dyDescent="0.15">
      <c r="A93" s="5" t="s">
        <v>199</v>
      </c>
      <c r="B93" s="5" t="s">
        <v>200</v>
      </c>
      <c r="C93" s="5" t="str">
        <f>IFERROR(VLOOKUP(表1[[#This Row],[中文]],[1]!表1_3[[中文]:[翻译后文本]],2,FALSE),"EN."&amp;表1[[#This Row],[中文]])</f>
        <v>Nhận</v>
      </c>
      <c r="D93" s="5" t="str">
        <f>IFERROR(VLOOKUP(表1[[#This Row],[中文]],[1]!表1_3[[中文]:[翻译后文本]],2,FALSE),"VN."&amp;表1[[#This Row],[中文]])</f>
        <v>Nhận</v>
      </c>
    </row>
    <row r="94" spans="1:4" x14ac:dyDescent="0.15">
      <c r="A94" s="5" t="s">
        <v>201</v>
      </c>
      <c r="B94" s="5" t="s">
        <v>202</v>
      </c>
      <c r="C94" s="5" t="str">
        <f>IFERROR(VLOOKUP(表1[[#This Row],[中文]],[1]!表1_3[[中文]:[翻译后文本]],2,FALSE),"EN."&amp;表1[[#This Row],[中文]])</f>
        <v>Bạn vượt hạng của bạn bè rồi, muốn thông báo không?</v>
      </c>
      <c r="D94" s="5" t="str">
        <f>IFERROR(VLOOKUP(表1[[#This Row],[中文]],[1]!表1_3[[中文]:[翻译后文本]],2,FALSE),"VN."&amp;表1[[#This Row],[中文]])</f>
        <v>Bạn vượt hạng của bạn bè rồi, muốn thông báo không?</v>
      </c>
    </row>
    <row r="95" spans="1:4" x14ac:dyDescent="0.15">
      <c r="A95" s="5" t="s">
        <v>203</v>
      </c>
      <c r="B95" s="5" t="s">
        <v>204</v>
      </c>
      <c r="C95" s="5" t="str">
        <f>IFERROR(VLOOKUP(表1[[#This Row],[中文]],[1]!表1_3[[中文]:[翻译后文本]],2,FALSE),"EN."&amp;表1[[#This Row],[中文]])</f>
        <v>Bỏ đi!</v>
      </c>
      <c r="D95" s="5" t="str">
        <f>IFERROR(VLOOKUP(表1[[#This Row],[中文]],[1]!表1_3[[中文]:[翻译后文本]],2,FALSE),"VN."&amp;表1[[#This Row],[中文]])</f>
        <v>Bỏ đi!</v>
      </c>
    </row>
    <row r="96" spans="1:4" x14ac:dyDescent="0.15">
      <c r="A96" s="5" t="s">
        <v>205</v>
      </c>
      <c r="B96" s="5" t="s">
        <v>206</v>
      </c>
      <c r="C96" s="5" t="str">
        <f>IFERROR(VLOOKUP(表1[[#This Row],[中文]],[1]!表1_3[[中文]:[翻译后文本]],2,FALSE),"EN."&amp;表1[[#This Row],[中文]])</f>
        <v>Thông báo</v>
      </c>
      <c r="D96" s="5" t="str">
        <f>IFERROR(VLOOKUP(表1[[#This Row],[中文]],[1]!表1_3[[中文]:[翻译后文本]],2,FALSE),"VN."&amp;表1[[#This Row],[中文]])</f>
        <v>Thông báo</v>
      </c>
    </row>
    <row r="97" spans="1:4" x14ac:dyDescent="0.15">
      <c r="A97" s="5" t="s">
        <v>207</v>
      </c>
      <c r="B97" s="5" t="s">
        <v>208</v>
      </c>
      <c r="C97" s="5" t="str">
        <f>IFERROR(VLOOKUP(表1[[#This Row],[中文]],[1]!表1_3[[中文]:[翻译后文本]],2,FALSE),"EN."&amp;表1[[#This Row],[中文]])</f>
        <v>Click gửi tin nhanh</v>
      </c>
      <c r="D97" s="5" t="str">
        <f>IFERROR(VLOOKUP(表1[[#This Row],[中文]],[1]!表1_3[[中文]:[翻译后文本]],2,FALSE),"VN."&amp;表1[[#This Row],[中文]])</f>
        <v>Click gửi tin nhanh</v>
      </c>
    </row>
    <row r="98" spans="1:4" x14ac:dyDescent="0.15">
      <c r="A98" s="5" t="s">
        <v>209</v>
      </c>
      <c r="B98" s="5" t="s">
        <v>210</v>
      </c>
      <c r="C98" s="5" t="str">
        <f>IFERROR(VLOOKUP(表1[[#This Row],[中文]],[1]!表1_3[[中文]:[翻译后文本]],2,FALSE),"EN."&amp;表1[[#This Row],[中文]])</f>
        <v>Nhận thành công!</v>
      </c>
      <c r="D98" s="5" t="str">
        <f>IFERROR(VLOOKUP(表1[[#This Row],[中文]],[1]!表1_3[[中文]:[翻译后文本]],2,FALSE),"VN."&amp;表1[[#This Row],[中文]])</f>
        <v>Nhận thành công!</v>
      </c>
    </row>
    <row r="99" spans="1:4" x14ac:dyDescent="0.15">
      <c r="A99" s="5" t="s">
        <v>211</v>
      </c>
      <c r="B99" s="5" t="s">
        <v>212</v>
      </c>
      <c r="C99" s="5" t="str">
        <f>IFERROR(VLOOKUP(表1[[#This Row],[中文]],[1]!表1_3[[中文]:[翻译后文本]],2,FALSE),"EN."&amp;表1[[#This Row],[中文]])</f>
        <v xml:space="preserve">Bạn nhận được: </v>
      </c>
      <c r="D99" s="5" t="str">
        <f>IFERROR(VLOOKUP(表1[[#This Row],[中文]],[1]!表1_3[[中文]:[翻译后文本]],2,FALSE),"VN."&amp;表1[[#This Row],[中文]])</f>
        <v xml:space="preserve">Bạn nhận được: </v>
      </c>
    </row>
    <row r="100" spans="1:4" x14ac:dyDescent="0.15">
      <c r="A100" s="5" t="s">
        <v>213</v>
      </c>
      <c r="B100" s="5" t="s">
        <v>214</v>
      </c>
      <c r="C100" s="5" t="str">
        <f>IFERROR(VLOOKUP(表1[[#This Row],[中文]],[1]!表1_3[[中文]:[翻译后文本]],2,FALSE),"EN."&amp;表1[[#This Row],[中文]])</f>
        <v>Mai nhớ quay lại nhé!\nChơi vui nhận quà càng vui!</v>
      </c>
      <c r="D100" s="5" t="str">
        <f>IFERROR(VLOOKUP(表1[[#This Row],[中文]],[1]!表1_3[[中文]:[翻译后文本]],2,FALSE),"VN."&amp;表1[[#This Row],[中文]])</f>
        <v>Mai nhớ quay lại nhé!\nChơi vui nhận quà càng vui!</v>
      </c>
    </row>
    <row r="101" spans="1:4" x14ac:dyDescent="0.15">
      <c r="A101" s="5" t="s">
        <v>215</v>
      </c>
      <c r="B101" s="5" t="s">
        <v>216</v>
      </c>
      <c r="C101" s="5" t="str">
        <f>IFERROR(VLOOKUP(表1[[#This Row],[中文]],[1]!表1_3[[中文]:[翻译后文本]],2,FALSE),"EN."&amp;表1[[#This Row],[中文]])</f>
        <v>Đang xử lý, vui lòng đợi...</v>
      </c>
      <c r="D101" s="5" t="str">
        <f>IFERROR(VLOOKUP(表1[[#This Row],[中文]],[1]!表1_3[[中文]:[翻译后文本]],2,FALSE),"VN."&amp;表1[[#This Row],[中文]])</f>
        <v>Đang xử lý, vui lòng đợi...</v>
      </c>
    </row>
    <row r="102" spans="1:4" x14ac:dyDescent="0.15">
      <c r="A102" s="5" t="s">
        <v>217</v>
      </c>
      <c r="B102" s="5" t="s">
        <v>218</v>
      </c>
      <c r="C102" s="5" t="str">
        <f>IFERROR(VLOOKUP(表1[[#This Row],[中文]],[1]!表1_3[[中文]:[翻译后文本]],2,FALSE),"EN."&amp;表1[[#This Row],[中文]])</f>
        <v>BXH súng ưa thích</v>
      </c>
      <c r="D102" s="5" t="str">
        <f>IFERROR(VLOOKUP(表1[[#This Row],[中文]],[1]!表1_3[[中文]:[翻译后文本]],2,FALSE),"VN."&amp;表1[[#This Row],[中文]])</f>
        <v>BXH súng ưa thích</v>
      </c>
    </row>
    <row r="103" spans="1:4" x14ac:dyDescent="0.15">
      <c r="A103" s="5" t="s">
        <v>219</v>
      </c>
      <c r="B103" s="5" t="s">
        <v>220</v>
      </c>
      <c r="C103" s="5" t="str">
        <f>IFERROR(VLOOKUP(表1[[#This Row],[中文]],[1]!表1_3[[中文]:[翻译后文本]],2,FALSE),"EN."&amp;表1[[#This Row],[中文]])</f>
        <v>Bình chọn súng bạn thích</v>
      </c>
      <c r="D103" s="5" t="str">
        <f>IFERROR(VLOOKUP(表1[[#This Row],[中文]],[1]!表1_3[[中文]:[翻译后文本]],2,FALSE),"VN."&amp;表1[[#This Row],[中文]])</f>
        <v>Bình chọn súng bạn thích</v>
      </c>
    </row>
    <row r="104" spans="1:4" x14ac:dyDescent="0.15">
      <c r="A104" s="5" t="s">
        <v>221</v>
      </c>
      <c r="B104" s="5" t="s">
        <v>222</v>
      </c>
      <c r="C104" s="5" t="str">
        <f>IFERROR(VLOOKUP(表1[[#This Row],[中文]],[1]!表1_3[[中文]:[翻译后文本]],2,FALSE),"EN."&amp;表1[[#This Row],[中文]])</f>
        <v>Hiện không có Thư</v>
      </c>
      <c r="D104" s="5" t="str">
        <f>IFERROR(VLOOKUP(表1[[#This Row],[中文]],[1]!表1_3[[中文]:[翻译后文本]],2,FALSE),"VN."&amp;表1[[#This Row],[中文]])</f>
        <v>Hiện không có Thư</v>
      </c>
    </row>
    <row r="105" spans="1:4" x14ac:dyDescent="0.15">
      <c r="A105" s="5" t="s">
        <v>223</v>
      </c>
      <c r="B105" s="5" t="s">
        <v>224</v>
      </c>
      <c r="C105" s="5" t="str">
        <f>IFERROR(VLOOKUP(表1[[#This Row],[中文]],[1]!表1_3[[中文]:[翻译后文本]],2,FALSE),"EN."&amp;表1[[#This Row],[中文]])</f>
        <v>Nhận nhanh</v>
      </c>
      <c r="D105" s="5" t="str">
        <f>IFERROR(VLOOKUP(表1[[#This Row],[中文]],[1]!表1_3[[中文]:[翻译后文本]],2,FALSE),"VN."&amp;表1[[#This Row],[中文]])</f>
        <v>Nhận nhanh</v>
      </c>
    </row>
    <row r="106" spans="1:4" x14ac:dyDescent="0.15">
      <c r="A106" s="5" t="s">
        <v>225</v>
      </c>
      <c r="B106" s="5" t="s">
        <v>226</v>
      </c>
      <c r="C106" s="5" t="str">
        <f>IFERROR(VLOOKUP(表1[[#This Row],[中文]],[1]!表1_3[[中文]:[翻译后文本]],2,FALSE),"EN."&amp;表1[[#This Row],[中文]])</f>
        <v>Quà update phiên vản</v>
      </c>
      <c r="D106" s="5" t="str">
        <f>IFERROR(VLOOKUP(表1[[#This Row],[中文]],[1]!表1_3[[中文]:[翻译后文本]],2,FALSE),"VN."&amp;表1[[#This Row],[中文]])</f>
        <v>Quà update phiên vản</v>
      </c>
    </row>
    <row r="107" spans="1:4" x14ac:dyDescent="0.15">
      <c r="A107" s="5" t="s">
        <v>227</v>
      </c>
      <c r="B107" s="5" t="s">
        <v>228</v>
      </c>
      <c r="C107" s="5" t="str">
        <f>IFERROR(VLOOKUP(表1[[#This Row],[中文]],[1]!表1_3[[中文]:[翻译后文本]],2,FALSE),"EN."&amp;表1[[#This Row],[中文]])</f>
        <v>Mở khoá cấp 10</v>
      </c>
      <c r="D107" s="5" t="str">
        <f>IFERROR(VLOOKUP(表1[[#This Row],[中文]],[1]!表1_3[[中文]:[翻译后文本]],2,FALSE),"VN."&amp;表1[[#This Row],[中文]])</f>
        <v>Mở khoá cấp 10</v>
      </c>
    </row>
    <row r="108" spans="1:4" x14ac:dyDescent="0.15">
      <c r="A108" s="5" t="s">
        <v>229</v>
      </c>
      <c r="B108" s="5" t="s">
        <v>230</v>
      </c>
      <c r="C108" s="5" t="str">
        <f>IFERROR(VLOOKUP(表1[[#This Row],[中文]],[1]!表1_3[[中文]:[翻译后文本]],2,FALSE),"EN."&amp;表1[[#This Row],[中文]])</f>
        <v>Vũ khí x 100 mở khoá</v>
      </c>
      <c r="D108" s="5" t="str">
        <f>IFERROR(VLOOKUP(表1[[#This Row],[中文]],[1]!表1_3[[中文]:[翻译后文本]],2,FALSE),"VN."&amp;表1[[#This Row],[中文]])</f>
        <v>Vũ khí x 100 mở khoá</v>
      </c>
    </row>
    <row r="109" spans="1:4" x14ac:dyDescent="0.15">
      <c r="A109" s="5" t="s">
        <v>231</v>
      </c>
      <c r="B109" s="5" t="s">
        <v>232</v>
      </c>
      <c r="C109" s="5" t="str">
        <f>IFERROR(VLOOKUP(表1[[#This Row],[中文]],[1]!表1_3[[中文]:[翻译后文本]],2,FALSE),"EN."&amp;表1[[#This Row],[中文]])</f>
        <v xml:space="preserve">Mua: </v>
      </c>
      <c r="D109" s="5" t="str">
        <f>IFERROR(VLOOKUP(表1[[#This Row],[中文]],[1]!表1_3[[中文]:[翻译后文本]],2,FALSE),"VN."&amp;表1[[#This Row],[中文]])</f>
        <v xml:space="preserve">Mua: </v>
      </c>
    </row>
    <row r="110" spans="1:4" x14ac:dyDescent="0.15">
      <c r="A110" s="5" t="s">
        <v>233</v>
      </c>
      <c r="B110" s="5" t="s">
        <v>234</v>
      </c>
      <c r="C110" s="5" t="str">
        <f>IFERROR(VLOOKUP(表1[[#This Row],[中文]],[1]!表1_3[[中文]:[翻译后文本]],2,FALSE),"EN."&amp;表1[[#This Row],[中文]])</f>
        <v xml:space="preserve">Giá gốc: </v>
      </c>
      <c r="D110" s="5" t="str">
        <f>IFERROR(VLOOKUP(表1[[#This Row],[中文]],[1]!表1_3[[中文]:[翻译后文本]],2,FALSE),"VN."&amp;表1[[#This Row],[中文]])</f>
        <v xml:space="preserve">Giá gốc: </v>
      </c>
    </row>
    <row r="111" spans="1:4" x14ac:dyDescent="0.15">
      <c r="A111" s="5" t="s">
        <v>235</v>
      </c>
      <c r="B111" s="5" t="s">
        <v>236</v>
      </c>
      <c r="C111" s="5" t="str">
        <f>IFERROR(VLOOKUP(表1[[#This Row],[中文]],[1]!表1_3[[中文]:[翻译后文本]],2,FALSE),"EN."&amp;表1[[#This Row],[中文]])</f>
        <v>Hiện không vật phẩm để đổi</v>
      </c>
      <c r="D111" s="5" t="str">
        <f>IFERROR(VLOOKUP(表1[[#This Row],[中文]],[1]!表1_3[[中文]:[翻译后文本]],2,FALSE),"VN."&amp;表1[[#This Row],[中文]])</f>
        <v>Hiện không vật phẩm để đổi</v>
      </c>
    </row>
    <row r="112" spans="1:4" x14ac:dyDescent="0.15">
      <c r="A112" s="5" t="s">
        <v>237</v>
      </c>
      <c r="B112" s="5" t="s">
        <v>238</v>
      </c>
      <c r="C112" s="5" t="str">
        <f>IFERROR(VLOOKUP(表1[[#This Row],[中文]],[1]!表1_3[[中文]:[翻译后文本]],2,FALSE),"EN."&amp;表1[[#This Row],[中文]])</f>
        <v xml:space="preserve">Còn lại </v>
      </c>
      <c r="D112" s="5" t="str">
        <f>IFERROR(VLOOKUP(表1[[#This Row],[中文]],[1]!表1_3[[中文]:[翻译后文本]],2,FALSE),"VN."&amp;表1[[#This Row],[中文]])</f>
        <v xml:space="preserve">Còn lại </v>
      </c>
    </row>
    <row r="113" spans="1:4" x14ac:dyDescent="0.15">
      <c r="A113" s="5" t="s">
        <v>239</v>
      </c>
      <c r="B113" s="5" t="s">
        <v>240</v>
      </c>
      <c r="C113" s="5" t="str">
        <f>IFERROR(VLOOKUP(表1[[#This Row],[中文]],[1]!表1_3[[中文]:[翻译后文本]],2,FALSE),"EN."&amp;表1[[#This Row],[中文]])</f>
        <v>Đổi</v>
      </c>
      <c r="D113" s="5" t="str">
        <f>IFERROR(VLOOKUP(表1[[#This Row],[中文]],[1]!表1_3[[中文]:[翻译后文本]],2,FALSE),"VN."&amp;表1[[#This Row],[中文]])</f>
        <v>Đổi</v>
      </c>
    </row>
    <row r="114" spans="1:4" x14ac:dyDescent="0.15">
      <c r="A114" s="5" t="s">
        <v>241</v>
      </c>
      <c r="B114" s="5" t="s">
        <v>242</v>
      </c>
      <c r="C114" s="5" t="str">
        <f>IFERROR(VLOOKUP(表1[[#This Row],[中文]],[1]!表1_3[[中文]:[翻译后文本]],2,FALSE),"EN."&amp;表1[[#This Row],[中文]])</f>
        <v>Mỗi lần tiêu hao 50</v>
      </c>
      <c r="D114" s="5" t="str">
        <f>IFERROR(VLOOKUP(表1[[#This Row],[中文]],[1]!表1_3[[中文]:[翻译后文本]],2,FALSE),"VN."&amp;表1[[#This Row],[中文]])</f>
        <v>Mỗi lần tiêu hao 50</v>
      </c>
    </row>
    <row r="115" spans="1:4" x14ac:dyDescent="0.15">
      <c r="A115" s="5" t="s">
        <v>243</v>
      </c>
      <c r="B115" s="5" t="s">
        <v>244</v>
      </c>
      <c r="C115" s="5" t="str">
        <f>IFERROR(VLOOKUP(表1[[#This Row],[中文]],[1]!表1_3[[中文]:[翻译后文本]],2,FALSE),"EN."&amp;表1[[#This Row],[中文]])</f>
        <v>Lên ngôi sao.</v>
      </c>
      <c r="D115" s="5" t="str">
        <f>IFERROR(VLOOKUP(表1[[#This Row],[中文]],[1]!表1_3[[中文]:[翻译后文本]],2,FALSE),"VN."&amp;表1[[#This Row],[中文]])</f>
        <v>Lên ngôi sao.</v>
      </c>
    </row>
    <row r="116" spans="1:4" x14ac:dyDescent="0.15">
      <c r="A116" s="5" t="s">
        <v>245</v>
      </c>
      <c r="B116" s="5" t="s">
        <v>246</v>
      </c>
      <c r="C116" s="5" t="str">
        <f>IFERROR(VLOOKUP(表1[[#This Row],[中文]],[1]!表1_3[[中文]:[翻译后文本]],2,FALSE),"EN."&amp;表1[[#This Row],[中文]])</f>
        <v xml:space="preserve">Không bán hạn định </v>
      </c>
      <c r="D116" s="5" t="str">
        <f>IFERROR(VLOOKUP(表1[[#This Row],[中文]],[1]!表1_3[[中文]:[翻译后文本]],2,FALSE),"VN."&amp;表1[[#This Row],[中文]])</f>
        <v xml:space="preserve">Không bán hạn định </v>
      </c>
    </row>
    <row r="117" spans="1:4" x14ac:dyDescent="0.15">
      <c r="A117" s="5" t="s">
        <v>247</v>
      </c>
      <c r="B117" s="5" t="s">
        <v>248</v>
      </c>
      <c r="C117" s="5" t="str">
        <f>IFERROR(VLOOKUP(表1[[#This Row],[中文]],[1]!表1_3[[中文]:[翻译后文本]],2,FALSE),"EN."&amp;表1[[#This Row],[中文]])</f>
        <v>Rèn đến</v>
      </c>
      <c r="D117" s="5" t="str">
        <f>IFERROR(VLOOKUP(表1[[#This Row],[中文]],[1]!表1_3[[中文]:[翻译后文本]],2,FALSE),"VN."&amp;表1[[#This Row],[中文]])</f>
        <v>Rèn đến</v>
      </c>
    </row>
    <row r="118" spans="1:4" x14ac:dyDescent="0.15">
      <c r="A118" s="5" t="s">
        <v>249</v>
      </c>
      <c r="B118" s="5" t="s">
        <v>250</v>
      </c>
      <c r="C118" s="5" t="str">
        <f>IFERROR(VLOOKUP(表1[[#This Row],[中文]],[1]!表1_3[[中文]:[翻译后文本]],2,FALSE),"EN."&amp;表1[[#This Row],[中文]])</f>
        <v>Tiêu hao</v>
      </c>
      <c r="D118" s="5" t="str">
        <f>IFERROR(VLOOKUP(表1[[#This Row],[中文]],[1]!表1_3[[中文]:[翻译后文本]],2,FALSE),"VN."&amp;表1[[#This Row],[中文]])</f>
        <v>Tiêu hao</v>
      </c>
    </row>
    <row r="119" spans="1:4" x14ac:dyDescent="0.15">
      <c r="A119" s="1" t="s">
        <v>251</v>
      </c>
      <c r="B119" s="1" t="s">
        <v>252</v>
      </c>
      <c r="C119" s="5" t="str">
        <f>IFERROR(VLOOKUP(表1[[#This Row],[中文]],[1]!表1_3[[中文]:[翻译后文本]],2,FALSE),"EN."&amp;表1[[#This Row],[中文]])</f>
        <v>Mạng đang xử lý...</v>
      </c>
      <c r="D119" s="5" t="str">
        <f>IFERROR(VLOOKUP(表1[[#This Row],[中文]],[1]!表1_3[[中文]:[翻译后文本]],2,FALSE),"VN."&amp;表1[[#This Row],[中文]])</f>
        <v>Mạng đang xử lý...</v>
      </c>
    </row>
    <row r="120" spans="1:4" x14ac:dyDescent="0.15">
      <c r="A120" s="1" t="s">
        <v>253</v>
      </c>
      <c r="B120" s="1" t="s">
        <v>254</v>
      </c>
      <c r="C120" s="5" t="str">
        <f>IFERROR(VLOOKUP(表1[[#This Row],[中文]],[1]!表1_3[[中文]:[翻译后文本]],2,FALSE),"EN."&amp;表1[[#This Row],[中文]])</f>
        <v xml:space="preserve">Bạn đã đủ yêu cầu nhận quà </v>
      </c>
      <c r="D120" s="5" t="str">
        <f>IFERROR(VLOOKUP(表1[[#This Row],[中文]],[1]!表1_3[[中文]:[翻译后文本]],2,FALSE),"VN."&amp;表1[[#This Row],[中文]])</f>
        <v xml:space="preserve">Bạn đã đủ yêu cầu nhận quà </v>
      </c>
    </row>
    <row r="121" spans="1:4" x14ac:dyDescent="0.15">
      <c r="A121" s="1" t="s">
        <v>255</v>
      </c>
      <c r="B121" s="1" t="s">
        <v>256</v>
      </c>
      <c r="C121" s="5" t="str">
        <f>IFERROR(VLOOKUP(表1[[#This Row],[中文]],[1]!表1_3[[中文]:[翻译后文本]],2,FALSE),"EN."&amp;表1[[#This Row],[中文]])</f>
        <v>Săn đủ cá nhận RƯƠNG QUÀ</v>
      </c>
      <c r="D121" s="5" t="str">
        <f>IFERROR(VLOOKUP(表1[[#This Row],[中文]],[1]!表1_3[[中文]:[翻译后文本]],2,FALSE),"VN."&amp;表1[[#This Row],[中文]])</f>
        <v>Săn đủ cá nhận RƯƠNG QUÀ</v>
      </c>
    </row>
    <row r="122" spans="1:4" x14ac:dyDescent="0.15">
      <c r="A122" s="1" t="s">
        <v>257</v>
      </c>
      <c r="B122" s="1" t="s">
        <v>258</v>
      </c>
      <c r="C122" s="5" t="str">
        <f>IFERROR(VLOOKUP(表1[[#This Row],[中文]],[1]!表1_3[[中文]:[翻译后文本]],2,FALSE),"EN."&amp;表1[[#This Row],[中文]])</f>
        <v>Nạp không thành công, xin liên hệ CSKH</v>
      </c>
      <c r="D122" s="5" t="str">
        <f>IFERROR(VLOOKUP(表1[[#This Row],[中文]],[1]!表1_3[[中文]:[翻译后文本]],2,FALSE),"VN."&amp;表1[[#This Row],[中文]])</f>
        <v>Nạp không thành công, xin liên hệ CSKH</v>
      </c>
    </row>
    <row r="123" spans="1:4" x14ac:dyDescent="0.15">
      <c r="A123" s="1" t="s">
        <v>259</v>
      </c>
      <c r="B123" s="1" t="s">
        <v>260</v>
      </c>
      <c r="C123" s="5" t="str">
        <f>IFERROR(VLOOKUP(表1[[#This Row],[中文]],[1]!表1_3[[中文]:[翻译后文本]],2,FALSE),"EN."&amp;表1[[#This Row],[中文]])</f>
        <v>Đến ngư trường</v>
      </c>
      <c r="D123" s="5" t="str">
        <f>IFERROR(VLOOKUP(表1[[#This Row],[中文]],[1]!表1_3[[中文]:[翻译后文本]],2,FALSE),"VN."&amp;表1[[#This Row],[中文]])</f>
        <v>Đến ngư trường</v>
      </c>
    </row>
    <row r="124" spans="1:4" x14ac:dyDescent="0.15">
      <c r="A124" s="1" t="s">
        <v>261</v>
      </c>
      <c r="B124" s="1" t="s">
        <v>262</v>
      </c>
      <c r="C124" s="5" t="str">
        <f>IFERROR(VLOOKUP(表1[[#This Row],[中文]],[1]!表1_3[[中文]:[翻译后文本]],2,FALSE),"EN."&amp;表1[[#This Row],[中文]])</f>
        <v xml:space="preserve">Chia sẻ </v>
      </c>
      <c r="D124" s="5" t="str">
        <f>IFERROR(VLOOKUP(表1[[#This Row],[中文]],[1]!表1_3[[中文]:[翻译后文本]],2,FALSE),"VN."&amp;表1[[#This Row],[中文]])</f>
        <v xml:space="preserve">Chia sẻ </v>
      </c>
    </row>
    <row r="125" spans="1:4" x14ac:dyDescent="0.15">
      <c r="A125" s="1" t="s">
        <v>263</v>
      </c>
      <c r="B125" s="1" t="s">
        <v>264</v>
      </c>
      <c r="C125" s="5" t="str">
        <f>IFERROR(VLOOKUP(表1[[#This Row],[中文]],[1]!表1_3[[中文]:[翻译后文本]],2,FALSE),"EN."&amp;表1[[#This Row],[中文]])</f>
        <v xml:space="preserve">Hôm nay\nNhận </v>
      </c>
      <c r="D125" s="5" t="str">
        <f>IFERROR(VLOOKUP(表1[[#This Row],[中文]],[1]!表1_3[[中文]:[翻译后文本]],2,FALSE),"VN."&amp;表1[[#This Row],[中文]])</f>
        <v xml:space="preserve">Hôm nay\nNhận </v>
      </c>
    </row>
    <row r="126" spans="1:4" x14ac:dyDescent="0.15">
      <c r="A126" s="1" t="s">
        <v>265</v>
      </c>
      <c r="B126" s="1" t="s">
        <v>266</v>
      </c>
      <c r="C126" s="5" t="str">
        <f>IFERROR(VLOOKUP(表1[[#This Row],[中文]],[1]!表1_3[[中文]:[翻译后文本]],2,FALSE),"EN."&amp;表1[[#This Row],[中文]])</f>
        <v xml:space="preserve">Có: </v>
      </c>
      <c r="D126" s="5" t="str">
        <f>IFERROR(VLOOKUP(表1[[#This Row],[中文]],[1]!表1_3[[中文]:[翻译后文本]],2,FALSE),"VN."&amp;表1[[#This Row],[中文]])</f>
        <v xml:space="preserve">Có: </v>
      </c>
    </row>
    <row r="127" spans="1:4" x14ac:dyDescent="0.15">
      <c r="A127" s="1" t="s">
        <v>267</v>
      </c>
      <c r="B127" s="1" t="s">
        <v>268</v>
      </c>
      <c r="C127" s="5" t="str">
        <f>IFERROR(VLOOKUP(表1[[#This Row],[中文]],[1]!表1_3[[中文]:[翻译后文本]],2,FALSE),"EN."&amp;表1[[#This Row],[中文]])</f>
        <v>Click để nhập</v>
      </c>
      <c r="D127" s="5" t="str">
        <f>IFERROR(VLOOKUP(表1[[#This Row],[中文]],[1]!表1_3[[中文]:[翻译后文本]],2,FALSE),"VN."&amp;表1[[#This Row],[中文]])</f>
        <v>Click để nhập</v>
      </c>
    </row>
    <row r="128" spans="1:4" x14ac:dyDescent="0.15">
      <c r="A128" s="1" t="s">
        <v>269</v>
      </c>
      <c r="B128" s="6" t="s">
        <v>270</v>
      </c>
      <c r="C128" s="5" t="str">
        <f>IFERROR(VLOOKUP(表1[[#This Row],[中文]],[1]!表1_3[[中文]:[翻译后文本]],2,FALSE),"EN."&amp;表1[[#This Row],[中文]])</f>
        <v>SERI</v>
      </c>
      <c r="D128" s="5" t="str">
        <f>IFERROR(VLOOKUP(表1[[#This Row],[中文]],[1]!表1_3[[中文]:[翻译后文本]],2,FALSE),"VN."&amp;表1[[#This Row],[中文]])</f>
        <v>SERI</v>
      </c>
    </row>
    <row r="129" spans="1:4" x14ac:dyDescent="0.15">
      <c r="A129" s="1" t="s">
        <v>271</v>
      </c>
      <c r="B129" s="6" t="s">
        <v>272</v>
      </c>
      <c r="C129" s="5" t="str">
        <f>IFERROR(VLOOKUP(表1[[#This Row],[中文]],[1]!表1_3[[中文]:[翻译后文本]],2,FALSE),"EN."&amp;表1[[#This Row],[中文]])</f>
        <v>MÃ THẺ</v>
      </c>
      <c r="D129" s="5" t="str">
        <f>IFERROR(VLOOKUP(表1[[#This Row],[中文]],[1]!表1_3[[中文]:[翻译后文本]],2,FALSE),"VN."&amp;表1[[#This Row],[中文]])</f>
        <v>MÃ THẺ</v>
      </c>
    </row>
    <row r="130" spans="1:4" x14ac:dyDescent="0.15">
      <c r="A130" s="1" t="s">
        <v>273</v>
      </c>
      <c r="B130" s="6" t="s">
        <v>274</v>
      </c>
      <c r="C130" s="5" t="str">
        <f>IFERROR(VLOOKUP(表1[[#This Row],[中文]],[1]!表1_3[[中文]:[翻译后文本]],2,FALSE),"EN."&amp;表1[[#This Row],[中文]])</f>
        <v>XÁC NHẬN</v>
      </c>
      <c r="D130" s="5" t="str">
        <f>IFERROR(VLOOKUP(表1[[#This Row],[中文]],[1]!表1_3[[中文]:[翻译后文本]],2,FALSE),"VN."&amp;表1[[#This Row],[中文]])</f>
        <v>XÁC NHẬN</v>
      </c>
    </row>
    <row r="131" spans="1:4" x14ac:dyDescent="0.15">
      <c r="A131" s="1" t="s">
        <v>275</v>
      </c>
      <c r="B131" s="6" t="s">
        <v>276</v>
      </c>
      <c r="C131" s="5" t="str">
        <f>IFERROR(VLOOKUP(表1[[#This Row],[中文]],[1]!表1_3[[中文]:[翻译后文本]],2,FALSE),"EN."&amp;表1[[#This Row],[中文]])</f>
        <v>Số tiền</v>
      </c>
      <c r="D131" s="5" t="str">
        <f>IFERROR(VLOOKUP(表1[[#This Row],[中文]],[1]!表1_3[[中文]:[翻译后文本]],2,FALSE),"VN."&amp;表1[[#This Row],[中文]])</f>
        <v>Số tiền</v>
      </c>
    </row>
    <row r="132" spans="1:4" x14ac:dyDescent="0.15">
      <c r="A132" s="1" t="s">
        <v>277</v>
      </c>
      <c r="B132" s="1" t="s">
        <v>278</v>
      </c>
      <c r="C132" s="5" t="str">
        <f>IFERROR(VLOOKUP(表1[[#This Row],[中文]],[1]!表1_3[[中文]:[翻译后文本]],2,FALSE),"EN."&amp;表1[[#This Row],[中文]])</f>
        <v xml:space="preserve">Trang bị </v>
      </c>
      <c r="D132" s="5" t="str">
        <f>IFERROR(VLOOKUP(表1[[#This Row],[中文]],[1]!表1_3[[中文]:[翻译后文本]],2,FALSE),"VN."&amp;表1[[#This Row],[中文]])</f>
        <v xml:space="preserve">Trang bị </v>
      </c>
    </row>
    <row r="133" spans="1:4" x14ac:dyDescent="0.15">
      <c r="A133" s="1" t="s">
        <v>279</v>
      </c>
      <c r="B133" s="1" t="s">
        <v>280</v>
      </c>
      <c r="C133" s="5" t="str">
        <f>IFERROR(VLOOKUP(表1[[#This Row],[中文]],[1]!表1_3[[中文]:[翻译后文本]],2,FALSE),"EN."&amp;表1[[#This Row],[中文]])</f>
        <v xml:space="preserve">Đã trang bị </v>
      </c>
      <c r="D133" s="5" t="str">
        <f>IFERROR(VLOOKUP(表1[[#This Row],[中文]],[1]!表1_3[[中文]:[翻译后文本]],2,FALSE),"VN."&amp;表1[[#This Row],[中文]])</f>
        <v xml:space="preserve">Đã trang bị </v>
      </c>
    </row>
    <row r="134" spans="1:4" x14ac:dyDescent="0.15">
      <c r="A134" s="1" t="s">
        <v>281</v>
      </c>
      <c r="B134" s="7" t="s">
        <v>282</v>
      </c>
      <c r="C134" s="5" t="str">
        <f>IFERROR(VLOOKUP(表1[[#This Row],[中文]],[1]!表1_3[[中文]:[翻译后文本]],2,FALSE),"EN."&amp;表1[[#This Row],[中文]])</f>
        <v>Ngư trường quá đông, dự kiến &lt;color=#4ffe63&gt;%d&lt;/c&gt; người sau có thể đăng nhập!</v>
      </c>
      <c r="D134" s="5" t="str">
        <f>IFERROR(VLOOKUP(表1[[#This Row],[中文]],[1]!表1_3[[中文]:[翻译后文本]],2,FALSE),"VN."&amp;表1[[#This Row],[中文]])</f>
        <v>Ngư trường quá đông, dự kiến &lt;color=#4ffe63&gt;%d&lt;/c&gt; người sau có thể đăng nhập!</v>
      </c>
    </row>
    <row r="135" spans="1:4" x14ac:dyDescent="0.15">
      <c r="A135" s="1" t="s">
        <v>283</v>
      </c>
      <c r="B135" s="1" t="s">
        <v>284</v>
      </c>
      <c r="C135" s="5" t="str">
        <f>IFERROR(VLOOKUP(表1[[#This Row],[中文]],[1]!表1_3[[中文]:[翻译后文本]],2,FALSE),"EN."&amp;表1[[#This Row],[中文]])</f>
        <v xml:space="preserve">Phần thưởng season </v>
      </c>
      <c r="D135" s="5" t="str">
        <f>IFERROR(VLOOKUP(表1[[#This Row],[中文]],[1]!表1_3[[中文]:[翻译后文本]],2,FALSE),"VN."&amp;表1[[#This Row],[中文]])</f>
        <v xml:space="preserve">Phần thưởng season </v>
      </c>
    </row>
    <row r="136" spans="1:4" x14ac:dyDescent="0.15">
      <c r="A136" s="1" t="s">
        <v>285</v>
      </c>
      <c r="B136" s="1" t="s">
        <v>286</v>
      </c>
      <c r="C136" s="5" t="str">
        <f>IFERROR(VLOOKUP(表1[[#This Row],[中文]],[1]!表1_3[[中文]:[翻译后文本]],2,FALSE),"EN."&amp;表1[[#This Row],[中文]])</f>
        <v>Kích thước càng lớn, nhận thưởng càng bự!</v>
      </c>
      <c r="D136" s="5" t="str">
        <f>IFERROR(VLOOKUP(表1[[#This Row],[中文]],[1]!表1_3[[中文]:[翻译后文本]],2,FALSE),"VN."&amp;表1[[#This Row],[中文]])</f>
        <v>Kích thước càng lớn, nhận thưởng càng bự!</v>
      </c>
    </row>
    <row r="137" spans="1:4" x14ac:dyDescent="0.15">
      <c r="A137" s="1" t="s">
        <v>287</v>
      </c>
      <c r="B137" s="1" t="s">
        <v>288</v>
      </c>
      <c r="C137" s="5" t="str">
        <f>IFERROR(VLOOKUP(表1[[#This Row],[中文]],[1]!表1_3[[中文]:[翻译后文本]],2,FALSE),"EN."&amp;表1[[#This Row],[中文]])</f>
        <v>Cấp 30 có thể sử dụng</v>
      </c>
      <c r="D137" s="5" t="str">
        <f>IFERROR(VLOOKUP(表1[[#This Row],[中文]],[1]!表1_3[[中文]:[翻译后文本]],2,FALSE),"VN."&amp;表1[[#This Row],[中文]])</f>
        <v>Cấp 30 có thể sử dụng</v>
      </c>
    </row>
    <row r="138" spans="1:4" x14ac:dyDescent="0.15">
      <c r="A138" s="1" t="s">
        <v>289</v>
      </c>
      <c r="B138" s="1" t="s">
        <v>290</v>
      </c>
      <c r="C138" s="5" t="str">
        <f>IFERROR(VLOOKUP(表1[[#This Row],[中文]],[1]!表1_3[[中文]:[翻译后文本]],2,FALSE),"EN."&amp;表1[[#This Row],[中文]])</f>
        <v xml:space="preserve">Hôm nay có thể mua: </v>
      </c>
      <c r="D138" s="5" t="str">
        <f>IFERROR(VLOOKUP(表1[[#This Row],[中文]],[1]!表1_3[[中文]:[翻译后文本]],2,FALSE),"VN."&amp;表1[[#This Row],[中文]])</f>
        <v xml:space="preserve">Hôm nay có thể mua: </v>
      </c>
    </row>
    <row r="139" spans="1:4" x14ac:dyDescent="0.15">
      <c r="A139" s="1" t="s">
        <v>291</v>
      </c>
      <c r="B139" s="1" t="s">
        <v>292</v>
      </c>
      <c r="C139" s="5" t="str">
        <f>IFERROR(VLOOKUP(表1[[#This Row],[中文]],[1]!表1_3[[中文]:[翻译后文本]],2,FALSE),"EN."&amp;表1[[#This Row],[中文]])</f>
        <v xml:space="preserve">Có thể nhận </v>
      </c>
      <c r="D139" s="5" t="str">
        <f>IFERROR(VLOOKUP(表1[[#This Row],[中文]],[1]!表1_3[[中文]:[翻译后文本]],2,FALSE),"VN."&amp;表1[[#This Row],[中文]])</f>
        <v xml:space="preserve">Có thể nhận </v>
      </c>
    </row>
    <row r="140" spans="1:4" x14ac:dyDescent="0.15">
      <c r="A140" s="1" t="s">
        <v>293</v>
      </c>
      <c r="B140" s="1" t="s">
        <v>294</v>
      </c>
      <c r="C140" s="5" t="str">
        <f>IFERROR(VLOOKUP(表1[[#This Row],[中文]],[1]!表1_3[[中文]:[翻译后文本]],2,FALSE),"EN."&amp;表1[[#This Row],[中文]])</f>
        <v xml:space="preserve">Mua 5 lần </v>
      </c>
      <c r="D140" s="5" t="str">
        <f>IFERROR(VLOOKUP(表1[[#This Row],[中文]],[1]!表1_3[[中文]:[翻译后文本]],2,FALSE),"VN."&amp;表1[[#This Row],[中文]])</f>
        <v xml:space="preserve">Mua 5 lần </v>
      </c>
    </row>
    <row r="141" spans="1:4" x14ac:dyDescent="0.15">
      <c r="A141" s="1" t="s">
        <v>295</v>
      </c>
      <c r="B141" s="1" t="s">
        <v>296</v>
      </c>
      <c r="C141" s="5" t="str">
        <f>IFERROR(VLOOKUP(表1[[#This Row],[中文]],[1]!表1_3[[中文]:[翻译后文本]],2,FALSE),"EN."&amp;表1[[#This Row],[中文]])</f>
        <v xml:space="preserve">Mua 1 lần </v>
      </c>
      <c r="D141" s="5" t="str">
        <f>IFERROR(VLOOKUP(表1[[#This Row],[中文]],[1]!表1_3[[中文]:[翻译后文本]],2,FALSE),"VN."&amp;表1[[#This Row],[中文]])</f>
        <v xml:space="preserve">Mua 1 lần </v>
      </c>
    </row>
    <row r="142" spans="1:4" x14ac:dyDescent="0.15">
      <c r="A142" s="1" t="s">
        <v>297</v>
      </c>
      <c r="B142" s="1" t="s">
        <v>298</v>
      </c>
      <c r="C142" s="5" t="str">
        <f>IFERROR(VLOOKUP(表1[[#This Row],[中文]],[1]!表1_3[[中文]:[翻译后文本]],2,FALSE),"EN."&amp;表1[[#This Row],[中文]])</f>
        <v>Các cách nhận free Ruby</v>
      </c>
      <c r="D142" s="5" t="str">
        <f>IFERROR(VLOOKUP(表1[[#This Row],[中文]],[1]!表1_3[[中文]:[翻译后文本]],2,FALSE),"VN."&amp;表1[[#This Row],[中文]])</f>
        <v>Các cách nhận free Ruby</v>
      </c>
    </row>
    <row r="143" spans="1:4" x14ac:dyDescent="0.15">
      <c r="A143" s="1" t="s">
        <v>299</v>
      </c>
      <c r="B143" s="1" t="s">
        <v>300</v>
      </c>
      <c r="C143" s="5" t="str">
        <f>IFERROR(VLOOKUP(表1[[#This Row],[中文]],[1]!表1_3[[中文]:[翻译后文本]],2,FALSE),"EN."&amp;表1[[#This Row],[中文]])</f>
        <v>Hàng ngày</v>
      </c>
      <c r="D143" s="5" t="str">
        <f>IFERROR(VLOOKUP(表1[[#This Row],[中文]],[1]!表1_3[[中文]:[翻译后文本]],2,FALSE),"VN."&amp;表1[[#This Row],[中文]])</f>
        <v>Hàng ngày</v>
      </c>
    </row>
    <row r="144" spans="1:4" x14ac:dyDescent="0.15">
      <c r="A144" s="1" t="s">
        <v>301</v>
      </c>
      <c r="B144" s="1" t="s">
        <v>302</v>
      </c>
      <c r="C144" s="5" t="str">
        <f>IFERROR(VLOOKUP(表1[[#This Row],[中文]],[1]!表1_3[[中文]:[翻译后文本]],2,FALSE),"EN."&amp;表1[[#This Row],[中文]])</f>
        <v>Thành tựu</v>
      </c>
      <c r="D144" s="5" t="str">
        <f>IFERROR(VLOOKUP(表1[[#This Row],[中文]],[1]!表1_3[[中文]:[翻译后文本]],2,FALSE),"VN."&amp;表1[[#This Row],[中文]])</f>
        <v>Thành tựu</v>
      </c>
    </row>
    <row r="145" spans="1:4" x14ac:dyDescent="0.15">
      <c r="A145" s="1" t="s">
        <v>303</v>
      </c>
      <c r="B145" s="1" t="s">
        <v>304</v>
      </c>
      <c r="C145" s="5" t="str">
        <f>IFERROR(VLOOKUP(表1[[#This Row],[中文]],[1]!表1_3[[中文]:[翻译后文本]],2,FALSE),"EN."&amp;表1[[#This Row],[中文]])</f>
        <v>Viện trợ</v>
      </c>
      <c r="D145" s="5" t="str">
        <f>IFERROR(VLOOKUP(表1[[#This Row],[中文]],[1]!表1_3[[中文]:[翻译后文本]],2,FALSE),"VN."&amp;表1[[#This Row],[中文]])</f>
        <v>Viện trợ</v>
      </c>
    </row>
    <row r="146" spans="1:4" x14ac:dyDescent="0.15">
      <c r="A146" s="1" t="s">
        <v>305</v>
      </c>
      <c r="B146" s="1" t="s">
        <v>306</v>
      </c>
      <c r="C146" s="5" t="str">
        <f>IFERROR(VLOOKUP(表1[[#This Row],[中文]],[1]!表1_3[[中文]:[翻译后文本]],2,FALSE),"EN."&amp;表1[[#This Row],[中文]])</f>
        <v xml:space="preserve">Hồ Cá </v>
      </c>
      <c r="D146" s="5" t="str">
        <f>IFERROR(VLOOKUP(表1[[#This Row],[中文]],[1]!表1_3[[中文]:[翻译后文本]],2,FALSE),"VN."&amp;表1[[#This Row],[中文]])</f>
        <v xml:space="preserve">Hồ Cá </v>
      </c>
    </row>
    <row r="147" spans="1:4" x14ac:dyDescent="0.15">
      <c r="A147" s="1" t="s">
        <v>307</v>
      </c>
      <c r="B147" s="1" t="s">
        <v>308</v>
      </c>
      <c r="C147" s="5" t="str">
        <f>IFERROR(VLOOKUP(表1[[#This Row],[中文]],[1]!表1_3[[中文]:[翻译后文本]],2,FALSE),"EN."&amp;表1[[#This Row],[中文]])</f>
        <v>Xem</v>
      </c>
      <c r="D147" s="5" t="str">
        <f>IFERROR(VLOOKUP(表1[[#This Row],[中文]],[1]!表1_3[[中文]:[翻译后文本]],2,FALSE),"VN."&amp;表1[[#This Row],[中文]])</f>
        <v>Xem</v>
      </c>
    </row>
    <row r="148" spans="1:4" x14ac:dyDescent="0.15">
      <c r="A148" s="1" t="s">
        <v>309</v>
      </c>
      <c r="B148" s="1" t="s">
        <v>128</v>
      </c>
      <c r="C148" s="5" t="str">
        <f>IFERROR(VLOOKUP(表1[[#This Row],[中文]],[1]!表1_3[[中文]:[翻译后文本]],2,FALSE),"EN."&amp;表1[[#This Row],[中文]])</f>
        <v xml:space="preserve">Boa </v>
      </c>
      <c r="D148" s="5" t="str">
        <f>IFERROR(VLOOKUP(表1[[#This Row],[中文]],[1]!表1_3[[中文]:[翻译后文本]],2,FALSE),"VN."&amp;表1[[#This Row],[中文]])</f>
        <v xml:space="preserve">Boa </v>
      </c>
    </row>
    <row r="149" spans="1:4" x14ac:dyDescent="0.15">
      <c r="A149" s="1" t="s">
        <v>310</v>
      </c>
      <c r="B149" s="8" t="s">
        <v>311</v>
      </c>
      <c r="C149" s="5" t="str">
        <f>IFERROR(VLOOKUP(表1[[#This Row],[中文]],[1]!表1_3[[中文]:[翻译后文本]],2,FALSE),"EN."&amp;表1[[#This Row],[中文]])</f>
        <v>Bảo rương là của bạn, nhưng tôi còn sẽ quay lại</v>
      </c>
      <c r="D149" s="5" t="str">
        <f>IFERROR(VLOOKUP(表1[[#This Row],[中文]],[1]!表1_3[[中文]:[翻译后文本]],2,FALSE),"VN."&amp;表1[[#This Row],[中文]])</f>
        <v>Bảo rương là của bạn, nhưng tôi còn sẽ quay lại</v>
      </c>
    </row>
    <row r="150" spans="1:4" x14ac:dyDescent="0.15">
      <c r="A150" s="1" t="s">
        <v>312</v>
      </c>
      <c r="B150" s="1" t="s">
        <v>313</v>
      </c>
      <c r="C150" s="5" t="str">
        <f>IFERROR(VLOOKUP(表1[[#This Row],[中文]],[1]!表1_3[[中文]:[翻译后文本]],2,FALSE),"EN."&amp;表1[[#This Row],[中文]])</f>
        <v>EN.在下面输入并发表，其他玩家也可看见哟！</v>
      </c>
      <c r="D150" s="5" t="str">
        <f>IFERROR(VLOOKUP(表1[[#This Row],[中文]],[1]!表1_3[[中文]:[翻译后文本]],2,FALSE),"VN."&amp;表1[[#This Row],[中文]])</f>
        <v>VN.在下面输入并发表，其他玩家也可看见哟！</v>
      </c>
    </row>
    <row r="151" spans="1:4" x14ac:dyDescent="0.15">
      <c r="A151" s="1" t="s">
        <v>314</v>
      </c>
      <c r="B151" s="8" t="s">
        <v>315</v>
      </c>
      <c r="C151" s="5" t="str">
        <f>IFERROR(VLOOKUP(表1[[#This Row],[中文]],[1]!表1_3[[中文]:[翻译后文本]],2,FALSE),"EN."&amp;表1[[#This Row],[中文]])</f>
        <v>Con yêu người chơi</v>
      </c>
      <c r="D151" s="5" t="str">
        <f>IFERROR(VLOOKUP(表1[[#This Row],[中文]],[1]!表1_3[[中文]:[翻译后文本]],2,FALSE),"VN."&amp;表1[[#This Row],[中文]])</f>
        <v>Con yêu người chơi</v>
      </c>
    </row>
    <row r="152" spans="1:4" x14ac:dyDescent="0.15">
      <c r="A152" s="16" t="s">
        <v>316</v>
      </c>
      <c r="B152" s="1" t="s">
        <v>317</v>
      </c>
      <c r="C152" s="5" t="str">
        <f>IFERROR(VLOOKUP(表1[[#This Row],[中文]],[1]!表1_3[[中文]:[翻译后文本]],2,FALSE),"EN."&amp;表1[[#This Row],[中文]])</f>
        <v>Xem thêm</v>
      </c>
      <c r="D152" s="5" t="str">
        <f>IFERROR(VLOOKUP(表1[[#This Row],[中文]],[1]!表1_3[[中文]:[翻译后文本]],2,FALSE),"VN."&amp;表1[[#This Row],[中文]])</f>
        <v>Xem thêm</v>
      </c>
    </row>
    <row r="153" spans="1:4" x14ac:dyDescent="0.15">
      <c r="A153" s="16" t="s">
        <v>318</v>
      </c>
      <c r="B153" s="1" t="s">
        <v>319</v>
      </c>
      <c r="C153" s="5" t="str">
        <f>IFERROR(VLOOKUP(表1[[#This Row],[中文]],[1]!表1_3[[中文]:[翻译后文本]],2,FALSE),"EN."&amp;表1[[#This Row],[中文]])</f>
        <v>Tài khoản:</v>
      </c>
      <c r="D153" s="5" t="str">
        <f>IFERROR(VLOOKUP(表1[[#This Row],[中文]],[1]!表1_3[[中文]:[翻译后文本]],2,FALSE),"VN."&amp;表1[[#This Row],[中文]])</f>
        <v>Tài khoản:</v>
      </c>
    </row>
    <row r="154" spans="1:4" x14ac:dyDescent="0.15">
      <c r="A154" s="16" t="s">
        <v>320</v>
      </c>
      <c r="B154" s="1" t="s">
        <v>321</v>
      </c>
      <c r="C154" s="5" t="str">
        <f>IFERROR(VLOOKUP(表1[[#This Row],[中文]],[1]!表1_3[[中文]:[翻译后文本]],2,FALSE),"EN."&amp;表1[[#This Row],[中文]])</f>
        <v>Mật mã:</v>
      </c>
      <c r="D154" s="5" t="str">
        <f>IFERROR(VLOOKUP(表1[[#This Row],[中文]],[1]!表1_3[[中文]:[翻译后文本]],2,FALSE),"VN."&amp;表1[[#This Row],[中文]])</f>
        <v>Mật mã:</v>
      </c>
    </row>
    <row r="155" spans="1:4" x14ac:dyDescent="0.15">
      <c r="A155" s="16" t="s">
        <v>322</v>
      </c>
      <c r="B155" s="1" t="s">
        <v>323</v>
      </c>
      <c r="C155" s="5" t="str">
        <f>IFERROR(VLOOKUP(表1[[#This Row],[中文]],[1]!表1_3[[中文]:[翻译后文本]],2,FALSE),"EN."&amp;表1[[#This Row],[中文]])</f>
        <v>Đăng ký tài khoản</v>
      </c>
      <c r="D155" s="5" t="str">
        <f>IFERROR(VLOOKUP(表1[[#This Row],[中文]],[1]!表1_3[[中文]:[翻译后文本]],2,FALSE),"VN."&amp;表1[[#This Row],[中文]])</f>
        <v>Đăng ký tài khoản</v>
      </c>
    </row>
    <row r="156" spans="1:4" x14ac:dyDescent="0.15">
      <c r="A156" s="16" t="s">
        <v>324</v>
      </c>
      <c r="B156" s="1" t="s">
        <v>325</v>
      </c>
      <c r="C156" s="5" t="str">
        <f>IFERROR(VLOOKUP(表1[[#This Row],[中文]],[1]!表1_3[[中文]:[翻译后文本]],2,FALSE),"EN."&amp;表1[[#This Row],[中文]])</f>
        <v>Quên mật mã</v>
      </c>
      <c r="D156" s="5" t="str">
        <f>IFERROR(VLOOKUP(表1[[#This Row],[中文]],[1]!表1_3[[中文]:[翻译后文本]],2,FALSE),"VN."&amp;表1[[#This Row],[中文]])</f>
        <v>Quên mật mã</v>
      </c>
    </row>
    <row r="157" spans="1:4" x14ac:dyDescent="0.15">
      <c r="A157" s="16" t="s">
        <v>326</v>
      </c>
      <c r="B157" s="1" t="s">
        <v>327</v>
      </c>
      <c r="C157" s="5" t="str">
        <f>IFERROR(VLOOKUP(表1[[#This Row],[中文]],[1]!表1_3[[中文]:[翻译后文本]],2,FALSE),"EN."&amp;表1[[#This Row],[中文]])</f>
        <v>Đăng nhập</v>
      </c>
      <c r="D157" s="5" t="str">
        <f>IFERROR(VLOOKUP(表1[[#This Row],[中文]],[1]!表1_3[[中文]:[翻译后文本]],2,FALSE),"VN."&amp;表1[[#This Row],[中文]])</f>
        <v>Đăng nhập</v>
      </c>
    </row>
    <row r="158" spans="1:4" x14ac:dyDescent="0.15">
      <c r="A158" s="16" t="s">
        <v>328</v>
      </c>
      <c r="B158" s="1" t="s">
        <v>329</v>
      </c>
      <c r="C158" s="5" t="str">
        <f>IFERROR(VLOOKUP(表1[[#This Row],[中文]],[1]!表1_3[[中文]:[翻译后文本]],2,FALSE),"EN."&amp;表1[[#This Row],[中文]])</f>
        <v>Đăng nhập theo phương thức khác</v>
      </c>
      <c r="D158" s="5" t="str">
        <f>IFERROR(VLOOKUP(表1[[#This Row],[中文]],[1]!表1_3[[中文]:[翻译后文本]],2,FALSE),"VN."&amp;表1[[#This Row],[中文]])</f>
        <v>Đăng nhập theo phương thức khác</v>
      </c>
    </row>
    <row r="159" spans="1:4" x14ac:dyDescent="0.15">
      <c r="A159" s="16" t="s">
        <v>330</v>
      </c>
      <c r="B159" s="1" t="s">
        <v>331</v>
      </c>
      <c r="C159" s="5" t="str">
        <f>IFERROR(VLOOKUP(表1[[#This Row],[中文]],[1]!表1_3[[中文]:[翻译后文本]],2,FALSE),"EN."&amp;表1[[#This Row],[中文]])</f>
        <v>Xác nhận mật mã:</v>
      </c>
      <c r="D159" s="5" t="str">
        <f>IFERROR(VLOOKUP(表1[[#This Row],[中文]],[1]!表1_3[[中文]:[翻译后文本]],2,FALSE),"VN."&amp;表1[[#This Row],[中文]])</f>
        <v>Xác nhận mật mã:</v>
      </c>
    </row>
    <row r="160" spans="1:4" x14ac:dyDescent="0.15">
      <c r="A160" s="16" t="s">
        <v>332</v>
      </c>
      <c r="B160" s="12" t="s">
        <v>347</v>
      </c>
      <c r="C160" s="5" t="str">
        <f>IFERROR(VLOOKUP(表1[[#This Row],[中文]],[1]!表1_3[[中文]:[翻译后文本]],2,FALSE),"EN."&amp;表1[[#This Row],[中文]])</f>
        <v>Kiểm chứng SĐT:</v>
      </c>
      <c r="D160" s="5" t="str">
        <f>IFERROR(VLOOKUP(表1[[#This Row],[中文]],[1]!表1_3[[中文]:[翻译后文本]],2,FALSE),"VN."&amp;表1[[#This Row],[中文]])</f>
        <v>Kiểm chứng SĐT:</v>
      </c>
    </row>
    <row r="161" spans="1:4" x14ac:dyDescent="0.15">
      <c r="A161" s="16" t="s">
        <v>333</v>
      </c>
      <c r="B161" s="1" t="s">
        <v>334</v>
      </c>
      <c r="C161" s="5" t="str">
        <f>IFERROR(VLOOKUP(表1[[#This Row],[中文]],[1]!表1_3[[中文]:[翻译后文本]],2,FALSE),"EN."&amp;表1[[#This Row],[中文]])</f>
        <v>Nhận mã kiểm chứng</v>
      </c>
      <c r="D161" s="5" t="str">
        <f>IFERROR(VLOOKUP(表1[[#This Row],[中文]],[1]!表1_3[[中文]:[翻译后文本]],2,FALSE),"VN."&amp;表1[[#This Row],[中文]])</f>
        <v>Nhận mã kiểm chứng</v>
      </c>
    </row>
    <row r="162" spans="1:4" x14ac:dyDescent="0.15">
      <c r="A162" s="16" t="s">
        <v>335</v>
      </c>
      <c r="B162" s="1" t="s">
        <v>336</v>
      </c>
      <c r="C162" s="5" t="str">
        <f>IFERROR(VLOOKUP(表1[[#This Row],[中文]],[1]!表1_3[[中文]:[翻译后文本]],2,FALSE),"EN."&amp;表1[[#This Row],[中文]])</f>
        <v>Nhập tên tài khoản</v>
      </c>
      <c r="D162" s="5" t="str">
        <f>IFERROR(VLOOKUP(表1[[#This Row],[中文]],[1]!表1_3[[中文]:[翻译后文本]],2,FALSE),"VN."&amp;表1[[#This Row],[中文]])</f>
        <v>Nhập tên tài khoản</v>
      </c>
    </row>
    <row r="163" spans="1:4" x14ac:dyDescent="0.15">
      <c r="A163" s="16" t="s">
        <v>337</v>
      </c>
      <c r="B163" s="1" t="s">
        <v>338</v>
      </c>
      <c r="C163" s="5" t="str">
        <f>IFERROR(VLOOKUP(表1[[#This Row],[中文]],[1]!表1_3[[中文]:[翻译后文本]],2,FALSE),"EN."&amp;表1[[#This Row],[中文]])</f>
        <v>Nhập mật mã</v>
      </c>
      <c r="D163" s="5" t="str">
        <f>IFERROR(VLOOKUP(表1[[#This Row],[中文]],[1]!表1_3[[中文]:[翻译后文本]],2,FALSE),"VN."&amp;表1[[#This Row],[中文]])</f>
        <v>Nhập mật mã</v>
      </c>
    </row>
    <row r="164" spans="1:4" x14ac:dyDescent="0.15">
      <c r="A164" s="16" t="s">
        <v>339</v>
      </c>
      <c r="B164" s="1" t="s">
        <v>340</v>
      </c>
      <c r="C164" s="5" t="str">
        <f>IFERROR(VLOOKUP(表1[[#This Row],[中文]],[1]!表1_3[[中文]:[翻译后文本]],2,FALSE),"EN."&amp;表1[[#This Row],[中文]])</f>
        <v>Nhập mã kiểm chứng</v>
      </c>
      <c r="D164" s="5" t="str">
        <f>IFERROR(VLOOKUP(表1[[#This Row],[中文]],[1]!表1_3[[中文]:[翻译后文本]],2,FALSE),"VN."&amp;表1[[#This Row],[中文]])</f>
        <v>Nhập mã kiểm chứng</v>
      </c>
    </row>
    <row r="165" spans="1:4" x14ac:dyDescent="0.15">
      <c r="A165" s="16" t="s">
        <v>341</v>
      </c>
      <c r="B165" s="1" t="s">
        <v>342</v>
      </c>
      <c r="C165" s="5" t="str">
        <f>IFERROR(VLOOKUP(表1[[#This Row],[中文]],[1]!表1_3[[中文]:[翻译后文本]],2,FALSE),"EN."&amp;表1[[#This Row],[中文]])</f>
        <v>Nhập SĐT</v>
      </c>
      <c r="D165" s="5" t="str">
        <f>IFERROR(VLOOKUP(表1[[#This Row],[中文]],[1]!表1_3[[中文]:[翻译后文本]],2,FALSE),"VN."&amp;表1[[#This Row],[中文]])</f>
        <v>Nhập SĐT</v>
      </c>
    </row>
    <row r="166" spans="1:4" x14ac:dyDescent="0.15">
      <c r="A166" s="16" t="s">
        <v>343</v>
      </c>
      <c r="B166" s="1" t="s">
        <v>344</v>
      </c>
      <c r="C166" s="5" t="str">
        <f>IFERROR(VLOOKUP(表1[[#This Row],[中文]],[1]!表1_3[[中文]:[翻译后文本]],2,FALSE),"EN."&amp;表1[[#This Row],[中文]])</f>
        <v>Cập nhật SĐT</v>
      </c>
      <c r="D166" s="5" t="str">
        <f>IFERROR(VLOOKUP(表1[[#This Row],[中文]],[1]!表1_3[[中文]:[翻译后文本]],2,FALSE),"VN."&amp;表1[[#This Row],[中文]])</f>
        <v>Cập nhật SĐT</v>
      </c>
    </row>
    <row r="167" spans="1:4" x14ac:dyDescent="0.15">
      <c r="A167" s="16" t="s">
        <v>348</v>
      </c>
      <c r="B167" s="12" t="s">
        <v>345</v>
      </c>
      <c r="C167" s="5" t="str">
        <f>IFERROR(VLOOKUP(表1[[#This Row],[中文]],[1]!表1_3[[中文]:[翻译后文本]],2,FALSE),"EN."&amp;表1[[#This Row],[中文]])</f>
        <v xml:space="preserve">Đăng ký </v>
      </c>
      <c r="D167" s="5" t="str">
        <f>IFERROR(VLOOKUP(表1[[#This Row],[中文]],[1]!表1_3[[中文]:[翻译后文本]],2,FALSE),"VN."&amp;表1[[#This Row],[中文]])</f>
        <v xml:space="preserve">Đăng ký </v>
      </c>
    </row>
    <row r="168" spans="1:4" x14ac:dyDescent="0.15">
      <c r="A168" s="16" t="s">
        <v>349</v>
      </c>
      <c r="B168" s="12" t="s">
        <v>346</v>
      </c>
      <c r="C168" s="5" t="str">
        <f>IFERROR(VLOOKUP(表1[[#This Row],[中文]],[1]!表1_3[[中文]:[翻译后文本]],2,FALSE),"EN."&amp;表1[[#This Row],[中文]])</f>
        <v>Mã kiểm chứng:</v>
      </c>
      <c r="D168" s="5" t="str">
        <f>IFERROR(VLOOKUP(表1[[#This Row],[中文]],[1]!表1_3[[中文]:[翻译后文本]],2,FALSE),"VN."&amp;表1[[#This Row],[中文]])</f>
        <v>Mã kiểm chứng:</v>
      </c>
    </row>
    <row r="169" spans="1:4" x14ac:dyDescent="0.15">
      <c r="A169" s="16" t="s">
        <v>351</v>
      </c>
      <c r="B169" s="8" t="s">
        <v>350</v>
      </c>
      <c r="C169" s="5" t="str">
        <f>IFERROR(VLOOKUP(表1[[#This Row],[中文]],[1]!表1_3[[中文]:[翻译后文本]],2,FALSE),"EN."&amp;表1[[#This Row],[中文]])</f>
        <v>Biệt danh User：</v>
      </c>
      <c r="D169" s="5" t="str">
        <f>IFERROR(VLOOKUP(表1[[#This Row],[中文]],[1]!表1_3[[中文]:[翻译后文本]],2,FALSE),"VN."&amp;表1[[#This Row],[中文]])</f>
        <v>Biệt danh User：</v>
      </c>
    </row>
    <row r="170" spans="1:4" x14ac:dyDescent="0.15">
      <c r="A170" s="16" t="s">
        <v>353</v>
      </c>
      <c r="B170" s="8" t="s">
        <v>352</v>
      </c>
      <c r="C170" s="5" t="str">
        <f>IFERROR(VLOOKUP(表1[[#This Row],[中文]],[1]!表1_3[[中文]:[翻译后文本]],2,FALSE),"EN."&amp;表1[[#This Row],[中文]])</f>
        <v>Biệt danh User</v>
      </c>
      <c r="D170" s="5" t="str">
        <f>IFERROR(VLOOKUP(表1[[#This Row],[中文]],[1]!表1_3[[中文]:[翻译后文本]],2,FALSE),"VN."&amp;表1[[#This Row],[中文]])</f>
        <v>Biệt danh User</v>
      </c>
    </row>
  </sheetData>
  <phoneticPr fontId="6" type="noConversion"/>
  <conditionalFormatting sqref="B128:B131">
    <cfRule type="duplicateValues" dxfId="1" priority="2"/>
  </conditionalFormatting>
  <conditionalFormatting sqref="B1:B1048576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2017-12-20T06:50:43Z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2052-10.1.0.7022</vt:lpwstr>
  </property>
</Properties>
</file>