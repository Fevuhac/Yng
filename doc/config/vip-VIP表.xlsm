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F:\fishjoy_design\data_table_js-越南版\"/>
    </mc:Choice>
  </mc:AlternateContent>
  <bookViews>
    <workbookView xWindow="0" yWindow="0" windowWidth="28695" windowHeight="14850" activeTab="1" xr2:uid="{00000000-000D-0000-FFFF-FFFF00000000}"/>
  </bookViews>
  <sheets>
    <sheet name="description" sheetId="1" r:id="rId1"/>
    <sheet name="vip_cfg" sheetId="7" r:id="rId2"/>
    <sheet name="qzonevip_cfg" sheetId="9" r:id="rId3"/>
  </sheets>
  <functionGroups builtInGroupCount="19"/>
  <externalReferences>
    <externalReference r:id="rId4"/>
  </externalReferences>
  <calcPr calcId="171027"/>
</workbook>
</file>

<file path=xl/calcChain.xml><?xml version="1.0" encoding="utf-8"?>
<calcChain xmlns="http://schemas.openxmlformats.org/spreadsheetml/2006/main">
  <c r="AA4" i="7" l="1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潘北辰</author>
  </authors>
  <commentList>
    <comment ref="X3" authorId="0" shapeId="0" xr:uid="{00000000-0006-0000-0100-000001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以数组方式填写循环的ai的id，没有此功能的，填写0</t>
        </r>
      </text>
    </comment>
  </commentList>
</comments>
</file>

<file path=xl/sharedStrings.xml><?xml version="1.0" encoding="utf-8"?>
<sst xmlns="http://schemas.openxmlformats.org/spreadsheetml/2006/main" count="270" uniqueCount="156">
  <si>
    <t>字段名</t>
  </si>
  <si>
    <t>英文、小写、下划线分隔单词。如'weanpon_name'</t>
  </si>
  <si>
    <t>类型</t>
  </si>
  <si>
    <t>枚举参数：number（小数）、int(整数)、string（字符串）、table（lua专用表格）、key,注意：只有第一列类型可以取key。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</si>
  <si>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</si>
  <si>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</si>
  <si>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</si>
  <si>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</si>
  <si>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9、table字段，为lua专门提供，填参样例：{10,10,10}或{"a", "b", "c"}
10、其他规范约束逐渐完善中。。。
</t>
  </si>
  <si>
    <t>table</t>
  </si>
  <si>
    <t>int</t>
  </si>
  <si>
    <t>[]</t>
  </si>
  <si>
    <r>
      <rPr>
        <sz val="10"/>
        <color theme="1"/>
        <rFont val="宋体"/>
        <family val="3"/>
        <charset val="134"/>
      </rPr>
      <t>[]</t>
    </r>
  </si>
  <si>
    <t>vip_desc_1</t>
  </si>
  <si>
    <t>viplibao</t>
  </si>
  <si>
    <t>vip_desc_2</t>
  </si>
  <si>
    <t>vip_desc_3</t>
  </si>
  <si>
    <t>vip_desc_4</t>
  </si>
  <si>
    <t>vip_desc_5</t>
  </si>
  <si>
    <t>vip_desc_6</t>
  </si>
  <si>
    <t>vip_desc_7</t>
  </si>
  <si>
    <t>vip_desc_8</t>
  </si>
  <si>
    <t>vip_desc_9</t>
  </si>
  <si>
    <t>vip_desc_10</t>
  </si>
  <si>
    <t>vip_desc_11</t>
  </si>
  <si>
    <t>vip_desc_12</t>
  </si>
  <si>
    <t>vip_desc_13</t>
  </si>
  <si>
    <t>vip_desc_14</t>
  </si>
  <si>
    <t>vip_desc_15</t>
  </si>
  <si>
    <t>vip等级</t>
  </si>
  <si>
    <t>需要充值RMB</t>
  </si>
  <si>
    <t>补足金币</t>
  </si>
  <si>
    <t>补足钻石</t>
  </si>
  <si>
    <t>开炮经验提高</t>
  </si>
  <si>
    <t>捕鱼命中提高</t>
  </si>
  <si>
    <t>vip技能概率强化</t>
  </si>
  <si>
    <t>领救济金金额</t>
  </si>
  <si>
    <t>领救济金次数</t>
    <phoneticPr fontId="5" type="noConversion"/>
  </si>
  <si>
    <t>礼包原价</t>
  </si>
  <si>
    <t>礼包售价</t>
  </si>
  <si>
    <t>礼包内容</t>
  </si>
  <si>
    <t>特权说明</t>
  </si>
  <si>
    <t>特权图片</t>
  </si>
  <si>
    <t>备注</t>
  </si>
  <si>
    <t>vip_level</t>
  </si>
  <si>
    <t>vip_unlock</t>
  </si>
  <si>
    <t>vip_dailyGold</t>
  </si>
  <si>
    <t>vip_dailyDiamond</t>
  </si>
  <si>
    <t>vip_miniGameAdd</t>
  </si>
  <si>
    <t>vip_giveItem</t>
  </si>
  <si>
    <t>vip_expadd</t>
  </si>
  <si>
    <t>vip_specialskill</t>
  </si>
  <si>
    <t>vip_hitrate</t>
  </si>
  <si>
    <t>vip_skillAddition</t>
  </si>
  <si>
    <t>goddessbuy</t>
    <phoneticPr fontId="5" type="noConversion"/>
  </si>
  <si>
    <t>vip_gold_buy</t>
  </si>
  <si>
    <t>vip_alms_value</t>
  </si>
  <si>
    <t>vip_alms_times</t>
  </si>
  <si>
    <t>gift_price1</t>
  </si>
  <si>
    <t>gift_price2</t>
  </si>
  <si>
    <t>gift_item</t>
  </si>
  <si>
    <t>vip_autoattact</t>
  </si>
  <si>
    <t>description</t>
  </si>
  <si>
    <t>vip_picture</t>
  </si>
  <si>
    <t>unexport</t>
  </si>
  <si>
    <t>int</t>
    <phoneticPr fontId="5" type="noConversion"/>
  </si>
  <si>
    <t>string</t>
  </si>
  <si>
    <t>小游戏加成</t>
    <phoneticPr fontId="5" type="noConversion"/>
  </si>
  <si>
    <t>10元翻盘基金</t>
    <phoneticPr fontId="5" type="noConversion"/>
  </si>
  <si>
    <t>女神付费次数</t>
    <phoneticPr fontId="5" type="noConversion"/>
  </si>
  <si>
    <t>购买金币次数</t>
    <phoneticPr fontId="5" type="noConversion"/>
  </si>
  <si>
    <t>float</t>
  </si>
  <si>
    <t>每日金币抽奖次数</t>
    <phoneticPr fontId="6" type="noConversion"/>
  </si>
  <si>
    <t>drawtimes</t>
    <phoneticPr fontId="6" type="noConversion"/>
  </si>
  <si>
    <t>int</t>
    <phoneticPr fontId="6" type="noConversion"/>
  </si>
  <si>
    <t>聊天颜色</t>
    <phoneticPr fontId="6" type="noConversion"/>
  </si>
  <si>
    <t>chatcolor</t>
    <phoneticPr fontId="6" type="noConversion"/>
  </si>
  <si>
    <t>string</t>
    <phoneticPr fontId="6" type="noConversion"/>
  </si>
  <si>
    <t>id</t>
    <phoneticPr fontId="5" type="noConversion"/>
  </si>
  <si>
    <t>黄钻等级</t>
    <phoneticPr fontId="5" type="noConversion"/>
  </si>
  <si>
    <t>reward_newplayer</t>
    <phoneticPr fontId="5" type="noConversion"/>
  </si>
  <si>
    <t>reward</t>
    <phoneticPr fontId="5" type="noConversion"/>
  </si>
  <si>
    <t>reward_annual</t>
    <phoneticPr fontId="5" type="noConversion"/>
  </si>
  <si>
    <t>新手礼包</t>
    <phoneticPr fontId="5" type="noConversion"/>
  </si>
  <si>
    <t>每日礼包</t>
    <phoneticPr fontId="5" type="noConversion"/>
  </si>
  <si>
    <t>年费每日额外礼包</t>
    <phoneticPr fontId="5" type="noConversion"/>
  </si>
  <si>
    <t>[["i001",1000],["i002",10],["i012",5]]</t>
    <phoneticPr fontId="5" type="noConversion"/>
  </si>
  <si>
    <t>[["i230",1],["i001",500]]</t>
    <phoneticPr fontId="5" type="noConversion"/>
  </si>
  <si>
    <t>[["i230",1],["i001",1000]]</t>
    <phoneticPr fontId="5" type="noConversion"/>
  </si>
  <si>
    <t>[["i230",1],["i001",1500]]</t>
  </si>
  <si>
    <t>[["i230",2],["i001",2000]]</t>
    <phoneticPr fontId="5" type="noConversion"/>
  </si>
  <si>
    <t>[["i240",1]]</t>
    <phoneticPr fontId="5" type="noConversion"/>
  </si>
  <si>
    <t>[["i230",3],["i001",4000]]</t>
    <phoneticPr fontId="5" type="noConversion"/>
  </si>
  <si>
    <t>[["i230",2],["i001",2500]]</t>
    <phoneticPr fontId="5" type="noConversion"/>
  </si>
  <si>
    <t>[["i230",2],["i001",3000]]</t>
    <phoneticPr fontId="5" type="noConversion"/>
  </si>
  <si>
    <t>[["i230",2],["i001",3500]]</t>
    <phoneticPr fontId="5" type="noConversion"/>
  </si>
  <si>
    <t>table</t>
    <phoneticPr fontId="5" type="noConversion"/>
  </si>
  <si>
    <t>charm</t>
    <phoneticPr fontId="6" type="noConversion"/>
  </si>
  <si>
    <t>int</t>
    <phoneticPr fontId="6" type="noConversion"/>
  </si>
  <si>
    <t>魅力值</t>
    <phoneticPr fontId="6" type="noConversion"/>
  </si>
  <si>
    <t>游戏好友上限</t>
    <phoneticPr fontId="6" type="noConversion"/>
  </si>
  <si>
    <t>friend</t>
    <phoneticPr fontId="6" type="noConversion"/>
  </si>
  <si>
    <t>int</t>
    <phoneticPr fontId="6" type="noConversion"/>
  </si>
  <si>
    <t>#2571b1</t>
    <phoneticPr fontId="6" type="noConversion"/>
  </si>
  <si>
    <t>#f8df40</t>
    <phoneticPr fontId="6" type="noConversion"/>
  </si>
  <si>
    <t>#d2f5bb</t>
    <phoneticPr fontId="6" type="noConversion"/>
  </si>
  <si>
    <t>#ffb655</t>
    <phoneticPr fontId="6" type="noConversion"/>
  </si>
  <si>
    <t>#655b09</t>
    <phoneticPr fontId="6" type="noConversion"/>
  </si>
  <si>
    <t>#b6580b</t>
    <phoneticPr fontId="6" type="noConversion"/>
  </si>
  <si>
    <t>#20242e</t>
    <phoneticPr fontId="6" type="noConversion"/>
  </si>
  <si>
    <t>string</t>
    <phoneticPr fontId="6" type="noConversion"/>
  </si>
  <si>
    <t>聊天底板</t>
    <phoneticPr fontId="6" type="noConversion"/>
  </si>
  <si>
    <t>chatpic</t>
    <phoneticPr fontId="6" type="noConversion"/>
  </si>
  <si>
    <t>speak_01</t>
    <phoneticPr fontId="6" type="noConversion"/>
  </si>
  <si>
    <t>speak_02</t>
    <phoneticPr fontId="6" type="noConversion"/>
  </si>
  <si>
    <t>speak_03</t>
    <phoneticPr fontId="6" type="noConversion"/>
  </si>
  <si>
    <t>speak_04</t>
    <phoneticPr fontId="6" type="noConversion"/>
  </si>
  <si>
    <t>speak_05</t>
    <phoneticPr fontId="6" type="noConversion"/>
  </si>
  <si>
    <t>speak_06</t>
    <phoneticPr fontId="6" type="noConversion"/>
  </si>
  <si>
    <t>speak_07</t>
    <phoneticPr fontId="6" type="noConversion"/>
  </si>
  <si>
    <t>gift_free</t>
    <phoneticPr fontId="6" type="noConversion"/>
  </si>
  <si>
    <t>每日福利</t>
    <phoneticPr fontId="6" type="noConversion"/>
  </si>
  <si>
    <t>[["i002",2],["i012",1]]</t>
    <phoneticPr fontId="5" type="noConversion"/>
  </si>
  <si>
    <t>[["i002",3],["i012",1]]</t>
    <phoneticPr fontId="5" type="noConversion"/>
  </si>
  <si>
    <t>[["i002",4],["i012",1]]</t>
    <phoneticPr fontId="5" type="noConversion"/>
  </si>
  <si>
    <t>[["i002",4],["i012",1],["i011",1]]</t>
    <phoneticPr fontId="5" type="noConversion"/>
  </si>
  <si>
    <t>[["i002",5],["i012",1],["i011",1]]</t>
    <phoneticPr fontId="5" type="noConversion"/>
  </si>
  <si>
    <t>[["i002",5],["i012",1],["i011",1],["i013",1]]</t>
    <phoneticPr fontId="5" type="noConversion"/>
  </si>
  <si>
    <t>[["i002",6],["i012",1],["i011",1],["i013",1]]</t>
    <phoneticPr fontId="5" type="noConversion"/>
  </si>
  <si>
    <t>[["i002",7],["i012",1],["i011",1],["i013",1]]</t>
    <phoneticPr fontId="5" type="noConversion"/>
  </si>
  <si>
    <t>[["i002",8],["i012",1],["i011",1],["i013",1]]</t>
    <phoneticPr fontId="5" type="noConversion"/>
  </si>
  <si>
    <t>[["i002",8],["i012",2],["i011",2],["i013",2]]</t>
    <phoneticPr fontId="5" type="noConversion"/>
  </si>
  <si>
    <t>[["i002",10],["i012",2],["i011",2],["i013",2]]</t>
    <phoneticPr fontId="5" type="noConversion"/>
  </si>
  <si>
    <t>[["i002",12],["i012",2],["i011",2],["i013",2]]</t>
    <phoneticPr fontId="5" type="noConversion"/>
  </si>
  <si>
    <t>[["i002",14],["i012",2],["i011",2],["i013",2]]</t>
    <phoneticPr fontId="5" type="noConversion"/>
  </si>
  <si>
    <t>[["i002",14],["i012",3],["i011",3],["i013",3]]</t>
    <phoneticPr fontId="5" type="noConversion"/>
  </si>
  <si>
    <t>[["i002",16],["i012",3],["i011",3],["i013",3]]</t>
    <phoneticPr fontId="5" type="noConversion"/>
  </si>
  <si>
    <t>[["i002",18],["i012",3],["i011",3],["i013",3]]</t>
    <phoneticPr fontId="5" type="noConversion"/>
  </si>
  <si>
    <t>开启赠送</t>
    <phoneticPr fontId="6" type="noConversion"/>
  </si>
  <si>
    <t>自动开炮</t>
    <phoneticPr fontId="6" type="noConversion"/>
  </si>
  <si>
    <t>[["i002",200],["i012",5],["i013",5],["i015",1]]</t>
  </si>
  <si>
    <t>[["i002",1400],["i012",20],["i013",20],["i015",5]]</t>
  </si>
  <si>
    <t>[["i002",2000],["i012",30],["i011",30],["i015",6]]</t>
  </si>
  <si>
    <t>[["i002",20],["i012",2],["i006",1]]</t>
  </si>
  <si>
    <t>[["i002",50],["i012",5],["i013",1],["i006",1]]</t>
  </si>
  <si>
    <t>[["i002",100],["i012",5],["i400",1],["i006",1]]</t>
  </si>
  <si>
    <t>[["i002",600],["i012",5],["i015",3],["i006",5]]</t>
  </si>
  <si>
    <t>[["i002",1000],["i012",10],["i015",4],["i400",10]]</t>
  </si>
  <si>
    <t>[["i002",150],["i013",5],["i011",5],["i015",1]]</t>
    <phoneticPr fontId="6" type="noConversion"/>
  </si>
  <si>
    <t>[["i002",250],["i013",5],["i011",5],["i015",2]]</t>
    <phoneticPr fontId="6" type="noConversion"/>
  </si>
  <si>
    <t>[["i002",800],["i013",10],["i011",10],["i015",4]]</t>
    <phoneticPr fontId="6" type="noConversion"/>
  </si>
  <si>
    <t>[["i002",1600],["i015",6],["i400",20],["i006",20]]</t>
    <phoneticPr fontId="6" type="noConversion"/>
  </si>
  <si>
    <t>[["i002",2500],["i013",50],["i015",8],["i006",50]]</t>
    <phoneticPr fontId="6" type="noConversion"/>
  </si>
  <si>
    <t>[["i002",300],["i012",5],["i011",5],["i015",2]]</t>
    <phoneticPr fontId="6" type="noConversion"/>
  </si>
  <si>
    <t>[["i002",400],["i013",5],["i015",3],["i400",5]]</t>
    <phoneticPr fontId="6" type="noConversion"/>
  </si>
  <si>
    <t>[["i002",1200],["i011",20],["i015",5],["i006",20]]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</si>
</sst>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</font>
    <font>
      <sz val="9"/>
      <color indexed="8"/>
      <name val="微软雅黑"/>
      <family val="2"/>
      <charset val="134"/>
    </font>
    <font>
      <sz val="9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9">
    <xf numFmtId="0" fontId="0" fillId="0" borderId="0"/>
    <xf numFmtId="0" fontId="4" fillId="0" borderId="0">
      <alignment vertical="center"/>
    </xf>
    <xf numFmtId="0" fontId="3" fillId="0" borderId="0"/>
    <xf numFmtId="0" fontId="2" fillId="0" borderId="0">
      <alignment vertical="center"/>
    </xf>
    <xf numFmtId="0" fontId="4" fillId="0" borderId="0">
      <alignment vertical="center"/>
    </xf>
    <xf numFmtId="0" fontId="3" fillId="0" borderId="0"/>
    <xf numFmtId="0" fontId="3" fillId="0" borderId="0"/>
    <xf numFmtId="0" fontId="7" fillId="0" borderId="0"/>
    <xf numFmtId="0" fontId="8" fillId="0" borderId="0">
      <alignment vertical="center"/>
    </xf>
  </cellStyleXfs>
  <cellXfs count="21">
    <xf numFmtId="0" fontId="0" fillId="0" borderId="0" xfId="0"/>
    <xf numFmtId="49" fontId="1" fillId="2" borderId="1" xfId="3" applyNumberFormat="1" applyFont="1" applyFill="1" applyBorder="1" applyAlignment="1">
      <alignment horizontal="center"/>
    </xf>
    <xf numFmtId="0" fontId="2" fillId="0" borderId="0" xfId="3" applyAlignment="1"/>
    <xf numFmtId="49" fontId="1" fillId="3" borderId="2" xfId="3" applyNumberFormat="1" applyFont="1" applyFill="1" applyBorder="1" applyAlignment="1">
      <alignment horizontal="center" vertical="center"/>
    </xf>
    <xf numFmtId="0" fontId="1" fillId="4" borderId="1" xfId="3" applyFont="1" applyFill="1" applyBorder="1" applyAlignment="1" applyProtection="1">
      <alignment horizontal="center"/>
    </xf>
    <xf numFmtId="0" fontId="1" fillId="5" borderId="3" xfId="3" applyNumberFormat="1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vertical="center"/>
    </xf>
    <xf numFmtId="49" fontId="1" fillId="3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1" fillId="2" borderId="1" xfId="3" applyNumberFormat="1" applyFont="1" applyFill="1" applyBorder="1" applyAlignment="1">
      <alignment horizontal="right"/>
    </xf>
    <xf numFmtId="49" fontId="1" fillId="3" borderId="5" xfId="0" applyNumberFormat="1" applyFont="1" applyFill="1" applyBorder="1" applyAlignment="1">
      <alignment horizontal="right"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/>
    <xf numFmtId="49" fontId="13" fillId="2" borderId="1" xfId="3" applyNumberFormat="1" applyFont="1" applyFill="1" applyBorder="1" applyAlignment="1">
      <alignment horizontal="center"/>
    </xf>
    <xf numFmtId="49" fontId="13" fillId="2" borderId="4" xfId="3" applyNumberFormat="1" applyFont="1" applyFill="1" applyBorder="1" applyAlignment="1">
      <alignment horizontal="center"/>
    </xf>
    <xf numFmtId="0" fontId="14" fillId="0" borderId="0" xfId="0" applyFont="1" applyAlignment="1">
      <alignment vertical="center"/>
    </xf>
    <xf numFmtId="49" fontId="13" fillId="3" borderId="5" xfId="0" applyNumberFormat="1" applyFont="1" applyFill="1" applyBorder="1" applyAlignment="1">
      <alignment horizontal="center" vertical="center"/>
    </xf>
    <xf numFmtId="0" fontId="2" fillId="0" borderId="0" xfId="3" applyNumberFormat="1" applyAlignment="1"/>
    <xf numFmtId="0" fontId="2" fillId="0" borderId="0" xfId="3" applyNumberFormat="1" applyAlignment="1">
      <alignment vertical="top" wrapText="1"/>
    </xf>
    <xf numFmtId="0" fontId="2" fillId="0" borderId="0" xfId="3" applyNumberFormat="1" applyAlignment="1">
      <alignment vertical="top"/>
    </xf>
  </cellXfs>
  <cellStyles count="9">
    <cellStyle name="常规" xfId="0" builtinId="0"/>
    <cellStyle name="常规 2" xfId="3" xr:uid="{00000000-0005-0000-0000-000001000000}"/>
    <cellStyle name="常规 2 2" xfId="2" xr:uid="{00000000-0005-0000-0000-000002000000}"/>
    <cellStyle name="常规 3" xfId="4" xr:uid="{00000000-0005-0000-0000-000003000000}"/>
    <cellStyle name="常规 3 2" xfId="1" xr:uid="{00000000-0005-0000-0000-000004000000}"/>
    <cellStyle name="常规 4" xfId="5" xr:uid="{00000000-0005-0000-0000-000005000000}"/>
    <cellStyle name="常规 5" xfId="6" xr:uid="{00000000-0005-0000-0000-000006000000}"/>
    <cellStyle name="常规 6" xfId="7" xr:uid="{00000000-0005-0000-0000-000007000000}"/>
    <cellStyle name="常规 7" xfId="8" xr:uid="{00000000-0005-0000-0000-000008000000}"/>
  </cellStyles>
  <dxfs count="37">
    <dxf>
      <font>
        <strike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宋体"/>
        <charset val="134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宋体"/>
        <charset val="134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宋体"/>
        <charset val="134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宋体"/>
        <charset val="134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宋体"/>
        <charset val="134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宋体"/>
        <charset val="134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宋体"/>
        <charset val="134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22</xdr:row>
      <xdr:rowOff>0</xdr:rowOff>
    </xdr:from>
    <xdr:to>
      <xdr:col>1</xdr:col>
      <xdr:colOff>352005</xdr:colOff>
      <xdr:row>54</xdr:row>
      <xdr:rowOff>8859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1ABB3333-09AD-4058-A054-0A4D9295A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790950"/>
          <a:ext cx="3361905" cy="53238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2</xdr:row>
      <xdr:rowOff>123824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135C1A82-9501-4D91-8C4F-7BDAA98C78E6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2</xdr:row>
      <xdr:rowOff>123824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12F7B39E-1BE0-43BF-AF42-F4EFFEC17355}"/>
            </a:ext>
          </a:extLst>
        </xdr:cNvPr>
        <xdr:cNvSpPr/>
      </xdr:nvSpPr>
      <xdr:spPr>
        <a:xfrm>
          <a:off x="0" y="0"/>
          <a:ext cx="285750" cy="5429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ring-&#23383;&#31526;&#20018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strings_cfg"/>
      <sheetName val="翻译"/>
      <sheetName val="string-字符串表"/>
    </sheetNames>
    <sheetDataSet>
      <sheetData sheetId="0"/>
      <sheetData sheetId="1"/>
      <sheetData sheetId="2"/>
      <sheetData sheetId="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3:AA19" totalsRowShown="0" headerRowDxfId="36" dataDxfId="35" tableBorderDxfId="34">
  <autoFilter ref="A3:AA19" xr:uid="{00000000-0009-0000-0100-000001000000}"/>
  <tableColumns count="27">
    <tableColumn id="1" xr3:uid="{00000000-0010-0000-0000-000001000000}" name="vip等级" dataDxfId="33"/>
    <tableColumn id="2" xr3:uid="{00000000-0010-0000-0000-000002000000}" name="需要充值RMB" dataDxfId="32"/>
    <tableColumn id="3" xr3:uid="{00000000-0010-0000-0000-000003000000}" name="补足金币" dataDxfId="31"/>
    <tableColumn id="25" xr3:uid="{0538E3E3-121F-4761-A837-B91E1C7EA9C9}" name="游戏好友上限" dataDxfId="30"/>
    <tableColumn id="4" xr3:uid="{00000000-0010-0000-0000-000004000000}" name="补足钻石" dataDxfId="29"/>
    <tableColumn id="22" xr3:uid="{00000000-0010-0000-0000-000016000000}" name="每日金币抽奖次数" dataDxfId="28"/>
    <tableColumn id="24" xr3:uid="{00000000-0010-0000-0000-000018000000}" name="魅力值" dataDxfId="27"/>
    <tableColumn id="5" xr3:uid="{00000000-0010-0000-0000-000005000000}" name="小游戏加成" dataDxfId="26"/>
    <tableColumn id="26" xr3:uid="{CFBB99C8-8F18-48D0-91E1-2487763FD474}" name="聊天底板" dataDxfId="25"/>
    <tableColumn id="23" xr3:uid="{00000000-0010-0000-0000-000017000000}" name="聊天颜色" dataDxfId="24"/>
    <tableColumn id="6" xr3:uid="{00000000-0010-0000-0000-000006000000}" name="开启赠送" dataDxfId="23"/>
    <tableColumn id="7" xr3:uid="{00000000-0010-0000-0000-000007000000}" name="开炮经验提高" dataDxfId="22"/>
    <tableColumn id="8" xr3:uid="{00000000-0010-0000-0000-000008000000}" name="10元翻盘基金" dataDxfId="21"/>
    <tableColumn id="9" xr3:uid="{00000000-0010-0000-0000-000009000000}" name="捕鱼命中提高" dataDxfId="20"/>
    <tableColumn id="10" xr3:uid="{00000000-0010-0000-0000-00000A000000}" name="vip技能概率强化" dataDxfId="19"/>
    <tableColumn id="11" xr3:uid="{00000000-0010-0000-0000-00000B000000}" name="女神付费次数" dataDxfId="18"/>
    <tableColumn id="12" xr3:uid="{00000000-0010-0000-0000-00000C000000}" name="购买金币次数" dataDxfId="17"/>
    <tableColumn id="13" xr3:uid="{00000000-0010-0000-0000-00000D000000}" name="领救济金金额" dataDxfId="16"/>
    <tableColumn id="14" xr3:uid="{00000000-0010-0000-0000-00000E000000}" name="领救济金次数" dataDxfId="15"/>
    <tableColumn id="15" xr3:uid="{00000000-0010-0000-0000-00000F000000}" name="礼包原价" dataDxfId="14"/>
    <tableColumn id="16" xr3:uid="{00000000-0010-0000-0000-000010000000}" name="礼包售价" dataDxfId="13"/>
    <tableColumn id="17" xr3:uid="{00000000-0010-0000-0000-000011000000}" name="礼包内容" dataDxfId="12"/>
    <tableColumn id="27" xr3:uid="{9DDAD8C6-5D13-4A84-AF49-0138A4FE2A53}" name="每日福利" dataDxfId="11"/>
    <tableColumn id="18" xr3:uid="{00000000-0010-0000-0000-000012000000}" name="自动开炮" dataDxfId="10"/>
    <tableColumn id="19" xr3:uid="{00000000-0010-0000-0000-000013000000}" name="特权说明" dataDxfId="9"/>
    <tableColumn id="20" xr3:uid="{00000000-0010-0000-0000-000014000000}" name="特权图片" dataDxfId="8"/>
    <tableColumn id="21" xr3:uid="{00000000-0010-0000-0000-000015000000}" name="备注" dataDxfId="7">
      <calculatedColumnFormula>VLOOKUP(表1[[#This Row],[特权说明]],[1]!表1[#Data],2,FALSE)</calculatedColumnFormula>
    </tableColumn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表1_3" displayName="表1_3" ref="A3:D11" totalsRowShown="0" headerRowDxfId="6" dataDxfId="5" tableBorderDxfId="4">
  <autoFilter ref="A3:D11" xr:uid="{00000000-0009-0000-0100-000002000000}"/>
  <tableColumns count="4">
    <tableColumn id="1" xr3:uid="{00000000-0010-0000-0100-000001000000}" name="黄钻等级" dataDxfId="3"/>
    <tableColumn id="2" xr3:uid="{00000000-0010-0000-0100-000002000000}" name="新手礼包" dataDxfId="2"/>
    <tableColumn id="3" xr3:uid="{00000000-0010-0000-0100-000003000000}" name="每日礼包" dataDxfId="1"/>
    <tableColumn id="4" xr3:uid="{00000000-0010-0000-0100-000004000000}" name="年费每日额外礼包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4" sqref="A34:B34"/>
    </sheetView>
  </sheetViews>
  <sheetFormatPr defaultColWidth="9" defaultRowHeight="13.5" x14ac:dyDescent="0.15"/>
  <cols>
    <col min="1" max="1" width="39.5" style="2" customWidth="1"/>
    <col min="2" max="2" width="115.25" style="2" customWidth="1"/>
    <col min="3" max="16384" width="9" style="2"/>
  </cols>
  <sheetData>
    <row r="1" spans="1:2" ht="16.5" x14ac:dyDescent="0.3">
      <c r="A1" s="1" t="s">
        <v>0</v>
      </c>
      <c r="B1" s="2" t="s">
        <v>1</v>
      </c>
    </row>
    <row r="2" spans="1:2" ht="16.5" x14ac:dyDescent="0.15">
      <c r="A2" s="3" t="s">
        <v>2</v>
      </c>
      <c r="B2" s="2" t="s">
        <v>3</v>
      </c>
    </row>
    <row r="3" spans="1:2" ht="16.5" x14ac:dyDescent="0.3">
      <c r="A3" s="4" t="s">
        <v>4</v>
      </c>
      <c r="B3" s="2" t="s">
        <v>5</v>
      </c>
    </row>
    <row r="4" spans="1:2" ht="16.5" x14ac:dyDescent="0.15">
      <c r="A4" s="5" t="s">
        <v>6</v>
      </c>
      <c r="B4" s="2" t="s">
        <v>7</v>
      </c>
    </row>
    <row r="6" spans="1:2" x14ac:dyDescent="0.15">
      <c r="A6" s="19" t="s">
        <v>8</v>
      </c>
      <c r="B6" s="20"/>
    </row>
    <row r="7" spans="1:2" x14ac:dyDescent="0.15">
      <c r="A7" s="20"/>
      <c r="B7" s="20"/>
    </row>
    <row r="8" spans="1:2" x14ac:dyDescent="0.15">
      <c r="A8" s="20"/>
      <c r="B8" s="20"/>
    </row>
    <row r="9" spans="1:2" x14ac:dyDescent="0.15">
      <c r="A9" s="20"/>
      <c r="B9" s="20"/>
    </row>
    <row r="10" spans="1:2" x14ac:dyDescent="0.15">
      <c r="A10" s="20"/>
      <c r="B10" s="20"/>
    </row>
    <row r="11" spans="1:2" x14ac:dyDescent="0.15">
      <c r="A11" s="20"/>
      <c r="B11" s="20"/>
    </row>
    <row r="12" spans="1:2" x14ac:dyDescent="0.15">
      <c r="A12" s="20"/>
      <c r="B12" s="20"/>
    </row>
    <row r="13" spans="1:2" x14ac:dyDescent="0.15">
      <c r="A13" s="20"/>
      <c r="B13" s="20"/>
    </row>
    <row r="14" spans="1:2" x14ac:dyDescent="0.15">
      <c r="A14" s="20"/>
      <c r="B14" s="20"/>
    </row>
    <row r="15" spans="1:2" x14ac:dyDescent="0.15">
      <c r="A15" s="20"/>
      <c r="B15" s="20"/>
    </row>
    <row r="16" spans="1:2" ht="13.15" customHeight="1" x14ac:dyDescent="0.15">
      <c r="A16" s="20"/>
      <c r="B16" s="20"/>
    </row>
    <row r="17" spans="1:2" ht="4.1500000000000004" customHeight="1" x14ac:dyDescent="0.15">
      <c r="A17" s="20"/>
      <c r="B17" s="20"/>
    </row>
    <row r="18" spans="1:2" hidden="1" x14ac:dyDescent="0.15">
      <c r="A18" s="20"/>
      <c r="B18" s="20"/>
    </row>
    <row r="19" spans="1:2" hidden="1" x14ac:dyDescent="0.15">
      <c r="A19" s="20"/>
      <c r="B19" s="20"/>
    </row>
    <row r="20" spans="1:2" hidden="1" x14ac:dyDescent="0.15">
      <c r="A20" s="20"/>
      <c r="B20" s="20"/>
    </row>
    <row r="21" spans="1:2" ht="22.9" customHeight="1" x14ac:dyDescent="0.15">
      <c r="A21" s="20"/>
      <c r="B21" s="20"/>
    </row>
    <row r="22" spans="1:2" ht="45" customHeight="1" x14ac:dyDescent="0.15">
      <c r="A22" s="20"/>
      <c r="B22" s="20"/>
    </row>
    <row r="23" spans="1:2" ht="51" hidden="1" customHeight="1" x14ac:dyDescent="0.15">
      <c r="A23" s="20"/>
      <c r="B23" s="20"/>
    </row>
    <row r="24" spans="1:2" x14ac:dyDescent="0.15">
      <c r="A24" s="18"/>
      <c r="B24" s="18"/>
    </row>
    <row r="25" spans="1:2" x14ac:dyDescent="0.15">
      <c r="A25" s="18"/>
      <c r="B25" s="18"/>
    </row>
    <row r="26" spans="1:2" x14ac:dyDescent="0.15">
      <c r="A26" s="18"/>
      <c r="B26" s="18"/>
    </row>
    <row r="27" spans="1:2" x14ac:dyDescent="0.15">
      <c r="A27" s="18"/>
      <c r="B27" s="18"/>
    </row>
    <row r="28" spans="1:2" x14ac:dyDescent="0.15">
      <c r="A28" s="18"/>
      <c r="B28" s="18"/>
    </row>
    <row r="29" spans="1:2" x14ac:dyDescent="0.15">
      <c r="A29" s="18"/>
      <c r="B29" s="18"/>
    </row>
    <row r="30" spans="1:2" x14ac:dyDescent="0.15">
      <c r="A30" s="18"/>
      <c r="B30" s="18"/>
    </row>
    <row r="31" spans="1:2" x14ac:dyDescent="0.15">
      <c r="A31" s="18"/>
      <c r="B31" s="18"/>
    </row>
    <row r="32" spans="1:2" x14ac:dyDescent="0.15">
      <c r="A32" s="18"/>
      <c r="B32" s="18"/>
    </row>
    <row r="33" spans="1:2" x14ac:dyDescent="0.15">
      <c r="A33" s="18"/>
      <c r="B33" s="18"/>
    </row>
    <row r="34" spans="1:2" x14ac:dyDescent="0.15">
      <c r="A34" s="18"/>
      <c r="B34" s="18"/>
    </row>
    <row r="35" spans="1:2" x14ac:dyDescent="0.15">
      <c r="A35" s="18"/>
      <c r="B35" s="18"/>
    </row>
    <row r="36" spans="1:2" x14ac:dyDescent="0.15">
      <c r="A36" s="18"/>
      <c r="B36" s="18"/>
    </row>
    <row r="37" spans="1:2" x14ac:dyDescent="0.15">
      <c r="A37" s="18"/>
      <c r="B37" s="18"/>
    </row>
    <row r="38" spans="1:2" x14ac:dyDescent="0.15">
      <c r="A38" s="18"/>
      <c r="B38" s="18"/>
    </row>
    <row r="39" spans="1:2" x14ac:dyDescent="0.15">
      <c r="A39" s="18"/>
      <c r="B39" s="18"/>
    </row>
    <row r="40" spans="1:2" x14ac:dyDescent="0.15">
      <c r="A40" s="18"/>
      <c r="B40" s="18"/>
    </row>
    <row r="41" spans="1:2" x14ac:dyDescent="0.15">
      <c r="A41" s="18"/>
      <c r="B41" s="18"/>
    </row>
    <row r="42" spans="1:2" x14ac:dyDescent="0.15">
      <c r="A42" s="18"/>
      <c r="B42" s="18"/>
    </row>
    <row r="43" spans="1:2" x14ac:dyDescent="0.15">
      <c r="A43" s="18"/>
      <c r="B43" s="18"/>
    </row>
    <row r="44" spans="1:2" x14ac:dyDescent="0.15">
      <c r="A44" s="18"/>
      <c r="B44" s="18"/>
    </row>
    <row r="45" spans="1:2" x14ac:dyDescent="0.15">
      <c r="A45" s="18"/>
      <c r="B45" s="18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5" type="noConversion"/>
  <pageMargins left="0.69930555555555596" right="0.69930555555555596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19"/>
  <sheetViews>
    <sheetView tabSelected="1" workbookViewId="0">
      <pane xSplit="1" ySplit="3" topLeftCell="E4" activePane="bottomRight" state="frozenSplit"/>
      <selection pane="topRight" activeCell="B1" sqref="B1"/>
      <selection pane="bottomLeft" activeCell="A4" sqref="A4"/>
      <selection pane="bottomRight" activeCell="K9" sqref="K9"/>
    </sheetView>
  </sheetViews>
  <sheetFormatPr defaultColWidth="9" defaultRowHeight="13.5" x14ac:dyDescent="0.15"/>
  <cols>
    <col min="1" max="1" width="10" style="7" customWidth="1"/>
    <col min="2" max="3" width="11.125" style="7" customWidth="1"/>
    <col min="4" max="4" width="11.625" style="7" customWidth="1"/>
    <col min="5" max="5" width="13.375" style="7" customWidth="1"/>
    <col min="6" max="6" width="14.375" style="7" customWidth="1"/>
    <col min="7" max="7" width="6.75" style="7" customWidth="1"/>
    <col min="8" max="8" width="13.75" style="7" customWidth="1"/>
    <col min="9" max="10" width="8.625" style="7" customWidth="1"/>
    <col min="11" max="11" width="10" style="7" customWidth="1"/>
    <col min="12" max="12" width="12" style="7" customWidth="1"/>
    <col min="13" max="13" width="11.75" style="7" customWidth="1"/>
    <col min="14" max="14" width="12" style="7" customWidth="1"/>
    <col min="15" max="15" width="14.625" style="7" customWidth="1"/>
    <col min="16" max="16" width="12.375" style="7" customWidth="1"/>
    <col min="17" max="17" width="11.625" style="7" customWidth="1"/>
    <col min="18" max="18" width="12.25" style="7" customWidth="1"/>
    <col min="19" max="19" width="11.75" style="7" customWidth="1"/>
    <col min="20" max="20" width="8.625" style="7" customWidth="1"/>
    <col min="21" max="21" width="10.125" style="7" customWidth="1"/>
    <col min="22" max="22" width="49" style="7" customWidth="1"/>
    <col min="23" max="23" width="45.125" style="7" customWidth="1"/>
    <col min="24" max="24" width="11.625" style="9" customWidth="1"/>
    <col min="25" max="25" width="11.875" style="7" customWidth="1"/>
    <col min="26" max="26" width="9.5" style="7" customWidth="1"/>
    <col min="27" max="29" width="20.625" style="7" customWidth="1"/>
    <col min="30" max="16384" width="9" style="7"/>
  </cols>
  <sheetData>
    <row r="1" spans="1:27" s="16" customFormat="1" ht="14.25" x14ac:dyDescent="0.3">
      <c r="A1" s="14" t="s">
        <v>44</v>
      </c>
      <c r="B1" s="14" t="s">
        <v>45</v>
      </c>
      <c r="C1" s="14" t="s">
        <v>46</v>
      </c>
      <c r="D1" s="14" t="s">
        <v>101</v>
      </c>
      <c r="E1" s="14" t="s">
        <v>47</v>
      </c>
      <c r="F1" s="14" t="s">
        <v>73</v>
      </c>
      <c r="G1" s="14" t="s">
        <v>97</v>
      </c>
      <c r="H1" s="14" t="s">
        <v>48</v>
      </c>
      <c r="I1" s="14" t="s">
        <v>112</v>
      </c>
      <c r="J1" s="14" t="s">
        <v>76</v>
      </c>
      <c r="K1" s="14" t="s">
        <v>49</v>
      </c>
      <c r="L1" s="14" t="s">
        <v>50</v>
      </c>
      <c r="M1" s="14" t="s">
        <v>51</v>
      </c>
      <c r="N1" s="14" t="s">
        <v>52</v>
      </c>
      <c r="O1" s="14" t="s">
        <v>53</v>
      </c>
      <c r="P1" s="14" t="s">
        <v>54</v>
      </c>
      <c r="Q1" s="14" t="s">
        <v>55</v>
      </c>
      <c r="R1" s="14" t="s">
        <v>56</v>
      </c>
      <c r="S1" s="14" t="s">
        <v>57</v>
      </c>
      <c r="T1" s="15" t="s">
        <v>58</v>
      </c>
      <c r="U1" s="15" t="s">
        <v>59</v>
      </c>
      <c r="V1" s="15" t="s">
        <v>60</v>
      </c>
      <c r="W1" s="15" t="s">
        <v>120</v>
      </c>
      <c r="X1" s="15" t="s">
        <v>61</v>
      </c>
      <c r="Y1" s="15" t="s">
        <v>62</v>
      </c>
      <c r="Z1" s="15" t="s">
        <v>63</v>
      </c>
      <c r="AA1" s="15" t="s">
        <v>64</v>
      </c>
    </row>
    <row r="2" spans="1:27" s="16" customFormat="1" ht="14.25" x14ac:dyDescent="0.15">
      <c r="A2" s="17" t="s">
        <v>10</v>
      </c>
      <c r="B2" s="17" t="s">
        <v>10</v>
      </c>
      <c r="C2" s="17" t="s">
        <v>10</v>
      </c>
      <c r="D2" s="17" t="s">
        <v>102</v>
      </c>
      <c r="E2" s="17" t="s">
        <v>10</v>
      </c>
      <c r="F2" s="17" t="s">
        <v>74</v>
      </c>
      <c r="G2" s="17" t="s">
        <v>98</v>
      </c>
      <c r="H2" s="17" t="s">
        <v>9</v>
      </c>
      <c r="I2" s="17" t="s">
        <v>110</v>
      </c>
      <c r="J2" s="17" t="s">
        <v>77</v>
      </c>
      <c r="K2" s="17" t="s">
        <v>10</v>
      </c>
      <c r="L2" s="17" t="s">
        <v>71</v>
      </c>
      <c r="M2" s="17" t="s">
        <v>10</v>
      </c>
      <c r="N2" s="17" t="s">
        <v>71</v>
      </c>
      <c r="O2" s="17" t="s">
        <v>9</v>
      </c>
      <c r="P2" s="17" t="s">
        <v>65</v>
      </c>
      <c r="Q2" s="17" t="s">
        <v>10</v>
      </c>
      <c r="R2" s="17" t="s">
        <v>10</v>
      </c>
      <c r="S2" s="17" t="s">
        <v>10</v>
      </c>
      <c r="T2" s="17" t="s">
        <v>10</v>
      </c>
      <c r="U2" s="17" t="s">
        <v>10</v>
      </c>
      <c r="V2" s="17" t="s">
        <v>9</v>
      </c>
      <c r="W2" s="17" t="s">
        <v>9</v>
      </c>
      <c r="X2" s="17" t="s">
        <v>9</v>
      </c>
      <c r="Y2" s="17" t="s">
        <v>66</v>
      </c>
      <c r="Z2" s="17" t="s">
        <v>66</v>
      </c>
      <c r="AA2" s="17" t="s">
        <v>64</v>
      </c>
    </row>
    <row r="3" spans="1:27" s="16" customFormat="1" ht="11.25" x14ac:dyDescent="0.15">
      <c r="A3" s="16" t="s">
        <v>29</v>
      </c>
      <c r="B3" s="16" t="s">
        <v>30</v>
      </c>
      <c r="C3" s="16" t="s">
        <v>31</v>
      </c>
      <c r="D3" s="16" t="s">
        <v>100</v>
      </c>
      <c r="E3" s="16" t="s">
        <v>32</v>
      </c>
      <c r="F3" s="16" t="s">
        <v>72</v>
      </c>
      <c r="G3" s="16" t="s">
        <v>99</v>
      </c>
      <c r="H3" s="16" t="s">
        <v>67</v>
      </c>
      <c r="I3" s="16" t="s">
        <v>111</v>
      </c>
      <c r="J3" s="16" t="s">
        <v>75</v>
      </c>
      <c r="K3" s="16" t="s">
        <v>138</v>
      </c>
      <c r="L3" s="16" t="s">
        <v>33</v>
      </c>
      <c r="M3" s="16" t="s">
        <v>68</v>
      </c>
      <c r="N3" s="16" t="s">
        <v>34</v>
      </c>
      <c r="O3" s="16" t="s">
        <v>35</v>
      </c>
      <c r="P3" s="16" t="s">
        <v>69</v>
      </c>
      <c r="Q3" s="16" t="s">
        <v>70</v>
      </c>
      <c r="R3" s="16" t="s">
        <v>36</v>
      </c>
      <c r="S3" s="16" t="s">
        <v>37</v>
      </c>
      <c r="T3" s="16" t="s">
        <v>38</v>
      </c>
      <c r="U3" s="16" t="s">
        <v>39</v>
      </c>
      <c r="V3" s="16" t="s">
        <v>40</v>
      </c>
      <c r="W3" s="16" t="s">
        <v>121</v>
      </c>
      <c r="X3" s="16" t="s">
        <v>139</v>
      </c>
      <c r="Y3" s="16" t="s">
        <v>41</v>
      </c>
      <c r="Z3" s="16" t="s">
        <v>42</v>
      </c>
      <c r="AA3" s="16" t="s">
        <v>43</v>
      </c>
    </row>
    <row r="4" spans="1:27" x14ac:dyDescent="0.15">
      <c r="A4" s="6">
        <v>0</v>
      </c>
      <c r="B4" s="6">
        <v>0</v>
      </c>
      <c r="C4" s="6">
        <v>0</v>
      </c>
      <c r="D4" s="6">
        <v>10</v>
      </c>
      <c r="E4" s="6">
        <v>0</v>
      </c>
      <c r="F4" s="6">
        <v>99999</v>
      </c>
      <c r="G4" s="6">
        <v>0</v>
      </c>
      <c r="H4" s="6" t="s">
        <v>11</v>
      </c>
      <c r="I4" s="6" t="s">
        <v>113</v>
      </c>
      <c r="J4" s="6" t="s">
        <v>103</v>
      </c>
      <c r="K4" s="6">
        <v>0</v>
      </c>
      <c r="L4" s="6">
        <v>0</v>
      </c>
      <c r="M4" s="6">
        <v>0</v>
      </c>
      <c r="N4" s="6">
        <v>0</v>
      </c>
      <c r="O4" s="6" t="s">
        <v>11</v>
      </c>
      <c r="P4" s="6">
        <v>1</v>
      </c>
      <c r="Q4" s="6">
        <v>5</v>
      </c>
      <c r="R4" s="6">
        <v>1000</v>
      </c>
      <c r="S4" s="6">
        <v>3</v>
      </c>
      <c r="T4" s="6">
        <v>4000</v>
      </c>
      <c r="U4" s="6">
        <v>800</v>
      </c>
      <c r="V4" s="13" t="s">
        <v>143</v>
      </c>
      <c r="W4" s="13" t="s">
        <v>122</v>
      </c>
      <c r="X4" s="6" t="s">
        <v>12</v>
      </c>
      <c r="Y4" s="6" t="s">
        <v>13</v>
      </c>
      <c r="Z4" s="6" t="s">
        <v>14</v>
      </c>
      <c r="AA4" s="6" t="str">
        <f>VLOOKUP(表1[[#This Row],[特权说明]],[1]!表1[#Data],2,FALSE)</f>
        <v>可购买V1礼包\n魅力50\n游戏内好友上限15\n捕鱼获得角色经验+1%\n破产可购买1元翻盘基金\n激光威力+1%\n每日可购买金币10次\n每次救济金领取2倍\n每日可领取救济金4次</v>
      </c>
    </row>
    <row r="5" spans="1:27" x14ac:dyDescent="0.15">
      <c r="A5" s="6">
        <v>1</v>
      </c>
      <c r="B5" s="6">
        <v>60000</v>
      </c>
      <c r="C5" s="6">
        <v>0</v>
      </c>
      <c r="D5" s="6">
        <v>15</v>
      </c>
      <c r="E5" s="6">
        <v>20</v>
      </c>
      <c r="F5" s="6">
        <v>99999</v>
      </c>
      <c r="G5" s="6">
        <v>300</v>
      </c>
      <c r="H5" s="6" t="s">
        <v>11</v>
      </c>
      <c r="I5" s="6" t="s">
        <v>114</v>
      </c>
      <c r="J5" s="6" t="s">
        <v>104</v>
      </c>
      <c r="K5" s="6">
        <v>0</v>
      </c>
      <c r="L5" s="6">
        <v>0.01</v>
      </c>
      <c r="M5" s="6">
        <v>0</v>
      </c>
      <c r="N5" s="6">
        <v>0</v>
      </c>
      <c r="O5" s="6" t="s">
        <v>11</v>
      </c>
      <c r="P5" s="6">
        <v>2</v>
      </c>
      <c r="Q5" s="6">
        <v>10</v>
      </c>
      <c r="R5" s="6">
        <v>1000</v>
      </c>
      <c r="S5" s="6">
        <v>4</v>
      </c>
      <c r="T5" s="13">
        <v>9000</v>
      </c>
      <c r="U5" s="6">
        <v>1800</v>
      </c>
      <c r="V5" s="13" t="s">
        <v>144</v>
      </c>
      <c r="W5" s="13" t="s">
        <v>123</v>
      </c>
      <c r="X5" s="6" t="s">
        <v>12</v>
      </c>
      <c r="Y5" s="6" t="s">
        <v>13</v>
      </c>
      <c r="Z5" s="6" t="s">
        <v>14</v>
      </c>
      <c r="AA5" s="6" t="str">
        <f>VLOOKUP(表1[[#This Row],[特权说明]],[1]!表1[#Data],2,FALSE)</f>
        <v>可购买V1礼包\n魅力50\n游戏内好友上限15\n捕鱼获得角色经验+1%\n破产可购买1元翻盘基金\n激光威力+1%\n每日可购买金币10次\n每次救济金领取2倍\n每日可领取救济金4次</v>
      </c>
    </row>
    <row r="6" spans="1:27" x14ac:dyDescent="0.15">
      <c r="A6" s="6">
        <v>2</v>
      </c>
      <c r="B6" s="6">
        <v>180000</v>
      </c>
      <c r="C6" s="6">
        <v>0</v>
      </c>
      <c r="D6" s="6">
        <v>20</v>
      </c>
      <c r="E6" s="6">
        <v>30</v>
      </c>
      <c r="F6" s="6">
        <v>99999</v>
      </c>
      <c r="G6" s="6">
        <v>600</v>
      </c>
      <c r="H6" s="6" t="s">
        <v>11</v>
      </c>
      <c r="I6" s="6" t="s">
        <v>114</v>
      </c>
      <c r="J6" s="6" t="s">
        <v>104</v>
      </c>
      <c r="K6" s="6">
        <v>1</v>
      </c>
      <c r="L6" s="6">
        <v>0.02</v>
      </c>
      <c r="M6" s="6">
        <v>0</v>
      </c>
      <c r="N6" s="6">
        <v>0</v>
      </c>
      <c r="O6" s="6" t="s">
        <v>11</v>
      </c>
      <c r="P6" s="6">
        <v>3</v>
      </c>
      <c r="Q6" s="6">
        <v>15</v>
      </c>
      <c r="R6" s="6">
        <v>1000</v>
      </c>
      <c r="S6" s="6">
        <v>4</v>
      </c>
      <c r="T6" s="13">
        <v>15000</v>
      </c>
      <c r="U6" s="6">
        <v>2900</v>
      </c>
      <c r="V6" s="13" t="s">
        <v>145</v>
      </c>
      <c r="W6" s="13" t="s">
        <v>124</v>
      </c>
      <c r="X6" s="6" t="s">
        <v>12</v>
      </c>
      <c r="Y6" s="6" t="s">
        <v>15</v>
      </c>
      <c r="Z6" s="6" t="s">
        <v>14</v>
      </c>
      <c r="AA6" s="6" t="str">
        <f>VLOOKUP(表1[[#This Row],[特权说明]],[1]!表1[#Data],2,FALSE)</f>
        <v>可购买V2礼包\n魅力150\n游戏内好友上限20\n捕鱼获得角色经验+2%\n破产可购买1元翻盘基金\n捕鱼时总命中+0.5%\n激光威力+1%\n每日可购买金币15次\n每次救济金领取3倍\n每日可领取救济金4次</v>
      </c>
    </row>
    <row r="7" spans="1:27" x14ac:dyDescent="0.15">
      <c r="A7" s="6">
        <v>3</v>
      </c>
      <c r="B7" s="6">
        <v>300000</v>
      </c>
      <c r="C7" s="6">
        <v>0</v>
      </c>
      <c r="D7" s="6">
        <v>25</v>
      </c>
      <c r="E7" s="6">
        <v>40</v>
      </c>
      <c r="F7" s="6">
        <v>99999</v>
      </c>
      <c r="G7" s="6">
        <v>1000</v>
      </c>
      <c r="H7" s="6" t="s">
        <v>11</v>
      </c>
      <c r="I7" s="6" t="s">
        <v>114</v>
      </c>
      <c r="J7" s="6" t="s">
        <v>104</v>
      </c>
      <c r="K7" s="6">
        <v>1</v>
      </c>
      <c r="L7" s="6">
        <v>0.03</v>
      </c>
      <c r="M7" s="6">
        <v>0</v>
      </c>
      <c r="N7" s="6">
        <v>0</v>
      </c>
      <c r="O7" s="6" t="s">
        <v>11</v>
      </c>
      <c r="P7" s="6">
        <v>4</v>
      </c>
      <c r="Q7" s="6">
        <v>20</v>
      </c>
      <c r="R7" s="6">
        <v>1000</v>
      </c>
      <c r="S7" s="6">
        <v>5</v>
      </c>
      <c r="T7" s="13">
        <v>45000</v>
      </c>
      <c r="U7" s="6">
        <v>25000</v>
      </c>
      <c r="V7" s="13" t="s">
        <v>148</v>
      </c>
      <c r="W7" s="13" t="s">
        <v>125</v>
      </c>
      <c r="X7" s="6" t="s">
        <v>12</v>
      </c>
      <c r="Y7" s="6" t="s">
        <v>16</v>
      </c>
      <c r="Z7" s="6" t="s">
        <v>14</v>
      </c>
      <c r="AA7" s="6" t="str">
        <f>VLOOKUP(表1[[#This Row],[特权说明]],[1]!表1[#Data],2,FALSE)</f>
        <v>可购买V3礼包\n魅力300\n游戏内好友上限25\n每日首次登录金币不足2万，补满2万\n捕鱼获得角色经验+3%\n破产可购买1元翻盘基金\n捕鱼时总命中+0.5%\n激光威力+1%\n每日可购买金币20次\n每次救济金领取4倍\n每日可领取救济金5次</v>
      </c>
    </row>
    <row r="8" spans="1:27" x14ac:dyDescent="0.15">
      <c r="A8" s="6">
        <v>4</v>
      </c>
      <c r="B8" s="6">
        <v>600000</v>
      </c>
      <c r="C8" s="6">
        <v>0</v>
      </c>
      <c r="D8" s="6">
        <v>30</v>
      </c>
      <c r="E8" s="6">
        <v>50</v>
      </c>
      <c r="F8" s="6">
        <v>99999</v>
      </c>
      <c r="G8" s="6">
        <v>2000</v>
      </c>
      <c r="H8" s="6" t="s">
        <v>11</v>
      </c>
      <c r="I8" s="6" t="s">
        <v>115</v>
      </c>
      <c r="J8" s="6" t="s">
        <v>105</v>
      </c>
      <c r="K8" s="6">
        <v>1</v>
      </c>
      <c r="L8" s="6">
        <v>0.04</v>
      </c>
      <c r="M8" s="6">
        <v>0</v>
      </c>
      <c r="N8" s="6">
        <v>0</v>
      </c>
      <c r="O8" s="6" t="s">
        <v>11</v>
      </c>
      <c r="P8" s="6">
        <v>5</v>
      </c>
      <c r="Q8" s="6">
        <v>30</v>
      </c>
      <c r="R8" s="6">
        <v>1500</v>
      </c>
      <c r="S8" s="6">
        <v>5</v>
      </c>
      <c r="T8" s="13">
        <v>50000</v>
      </c>
      <c r="U8" s="6">
        <v>25000</v>
      </c>
      <c r="V8" s="13" t="s">
        <v>140</v>
      </c>
      <c r="W8" s="13" t="s">
        <v>126</v>
      </c>
      <c r="X8" s="6" t="s">
        <v>12</v>
      </c>
      <c r="Y8" s="6" t="s">
        <v>17</v>
      </c>
      <c r="Z8" s="6" t="s">
        <v>14</v>
      </c>
      <c r="AA8" s="6" t="str">
        <f>VLOOKUP(表1[[#This Row],[特权说明]],[1]!表1[#Data],2,FALSE)</f>
        <v>可购买V4礼包\n魅力500\n游戏内好友上限30\n每日首次登录金币不足4万，补满4万\n捕鱼获得角色经验+4%\n破产可购买1元翻盘基金\n捕鱼时总命中+0.5%\n激光威力+1%\n每日可购买金币30次\n每次救济金领取5倍\n每日可领取救济金5次</v>
      </c>
    </row>
    <row r="9" spans="1:27" x14ac:dyDescent="0.15">
      <c r="A9" s="6">
        <v>5</v>
      </c>
      <c r="B9" s="6">
        <v>1200000</v>
      </c>
      <c r="C9" s="6">
        <v>0</v>
      </c>
      <c r="D9" s="6">
        <v>35</v>
      </c>
      <c r="E9" s="6">
        <v>60</v>
      </c>
      <c r="F9" s="6">
        <v>99999</v>
      </c>
      <c r="G9" s="6">
        <v>3000</v>
      </c>
      <c r="H9" s="6" t="s">
        <v>11</v>
      </c>
      <c r="I9" s="6" t="s">
        <v>115</v>
      </c>
      <c r="J9" s="6" t="s">
        <v>105</v>
      </c>
      <c r="K9" s="6">
        <v>1</v>
      </c>
      <c r="L9" s="6">
        <v>0.05</v>
      </c>
      <c r="M9" s="6">
        <v>0</v>
      </c>
      <c r="N9" s="6">
        <v>0</v>
      </c>
      <c r="O9" s="6" t="s">
        <v>11</v>
      </c>
      <c r="P9" s="6">
        <v>6</v>
      </c>
      <c r="Q9" s="6">
        <v>40</v>
      </c>
      <c r="R9" s="6">
        <v>1500</v>
      </c>
      <c r="S9" s="6">
        <v>6</v>
      </c>
      <c r="T9" s="13">
        <v>80000</v>
      </c>
      <c r="U9" s="6">
        <v>50000</v>
      </c>
      <c r="V9" s="13" t="s">
        <v>149</v>
      </c>
      <c r="W9" s="13" t="s">
        <v>127</v>
      </c>
      <c r="X9" s="6" t="s">
        <v>12</v>
      </c>
      <c r="Y9" s="6" t="s">
        <v>18</v>
      </c>
      <c r="Z9" s="6" t="s">
        <v>14</v>
      </c>
      <c r="AA9" s="6" t="str">
        <f>VLOOKUP(表1[[#This Row],[特权说明]],[1]!表1[#Data],2,FALSE)</f>
        <v>可购买V5礼包\n魅力1000\n游戏内好友上限35\n每日首次登录金币不足6万，补满6万\n接金币小游戏获得金币+2%\n捕鱼获得角色经验+5%\n破产可购买1元翻盘基金\n破产可购买10元翻盘基金\n捕鱼时总命中+1%\n激光威力+4%\n每日可购买金币40次\n每次救济金领取6倍\n每日可领取救济金6次</v>
      </c>
    </row>
    <row r="10" spans="1:27" x14ac:dyDescent="0.15">
      <c r="A10" s="6">
        <v>6</v>
      </c>
      <c r="B10" s="6">
        <v>2100000</v>
      </c>
      <c r="C10" s="6">
        <v>0</v>
      </c>
      <c r="D10" s="6">
        <v>40</v>
      </c>
      <c r="E10" s="6">
        <v>70</v>
      </c>
      <c r="F10" s="6">
        <v>99999</v>
      </c>
      <c r="G10" s="6">
        <v>4000</v>
      </c>
      <c r="H10" s="6" t="s">
        <v>11</v>
      </c>
      <c r="I10" s="6" t="s">
        <v>116</v>
      </c>
      <c r="J10" s="6" t="s">
        <v>106</v>
      </c>
      <c r="K10" s="6">
        <v>1</v>
      </c>
      <c r="L10" s="6">
        <v>0.06</v>
      </c>
      <c r="M10" s="6">
        <v>0</v>
      </c>
      <c r="N10" s="6">
        <v>0</v>
      </c>
      <c r="O10" s="6" t="s">
        <v>11</v>
      </c>
      <c r="P10" s="6">
        <v>7</v>
      </c>
      <c r="Q10" s="6">
        <v>60</v>
      </c>
      <c r="R10" s="6">
        <v>2000</v>
      </c>
      <c r="S10" s="6">
        <v>6</v>
      </c>
      <c r="T10" s="13">
        <v>85000</v>
      </c>
      <c r="U10" s="6">
        <v>50000</v>
      </c>
      <c r="V10" s="13" t="s">
        <v>153</v>
      </c>
      <c r="W10" s="13" t="s">
        <v>128</v>
      </c>
      <c r="X10" s="6" t="s">
        <v>12</v>
      </c>
      <c r="Y10" s="6" t="s">
        <v>19</v>
      </c>
      <c r="Z10" s="6" t="s">
        <v>14</v>
      </c>
      <c r="AA10" s="6" t="str">
        <f>VLOOKUP(表1[[#This Row],[特权说明]],[1]!表1[#Data],2,FALSE)</f>
        <v>可购买V6礼包\n魅力2000\n游戏内好友上限40\n每日首次登录金币不足8万，补满8万\n每日首次登录钻石不足20，补满20\n接金币小游戏获得金币+4%\n捕鱼获得角色经验+6%\n破产可购买1元翻盘基金\n破产可购买10元翻盘基金\n捕鱼时总命中+1%\n激光威力+5%\n每日可购买金币60次\n每次救济金领取7倍\n每日可领取救济金6次</v>
      </c>
    </row>
    <row r="11" spans="1:27" x14ac:dyDescent="0.15">
      <c r="A11" s="6">
        <v>7</v>
      </c>
      <c r="B11" s="6">
        <v>3000000</v>
      </c>
      <c r="C11" s="6">
        <v>0</v>
      </c>
      <c r="D11" s="6">
        <v>45</v>
      </c>
      <c r="E11" s="6">
        <v>80</v>
      </c>
      <c r="F11" s="6">
        <v>99999</v>
      </c>
      <c r="G11" s="6">
        <v>7000</v>
      </c>
      <c r="H11" s="6" t="s">
        <v>11</v>
      </c>
      <c r="I11" s="6" t="s">
        <v>116</v>
      </c>
      <c r="J11" s="6" t="s">
        <v>106</v>
      </c>
      <c r="K11" s="6">
        <v>1</v>
      </c>
      <c r="L11" s="6">
        <v>7.0000000000000007E-2</v>
      </c>
      <c r="M11" s="6">
        <v>0</v>
      </c>
      <c r="N11" s="6">
        <v>0</v>
      </c>
      <c r="O11" s="6" t="s">
        <v>11</v>
      </c>
      <c r="P11" s="6">
        <v>8</v>
      </c>
      <c r="Q11" s="6">
        <v>80</v>
      </c>
      <c r="R11" s="6">
        <v>2000</v>
      </c>
      <c r="S11" s="6">
        <v>7</v>
      </c>
      <c r="T11" s="13">
        <v>120000</v>
      </c>
      <c r="U11" s="6">
        <v>75000</v>
      </c>
      <c r="V11" s="13" t="s">
        <v>154</v>
      </c>
      <c r="W11" s="13" t="s">
        <v>129</v>
      </c>
      <c r="X11" s="6" t="s">
        <v>12</v>
      </c>
      <c r="Y11" s="6" t="s">
        <v>20</v>
      </c>
      <c r="Z11" s="6" t="s">
        <v>14</v>
      </c>
      <c r="AA11" s="6" t="str">
        <f>VLOOKUP(表1[[#This Row],[特权说明]],[1]!表1[#Data],2,FALSE)</f>
        <v>可购买V7礼包\n魅力3500\n游戏内好友上限45\n每日首次登录金币不足10万，补满10万\n每日首次登录钻石不足30，补满30\n接金币小游戏获得金币+6%\n捕鱼获得角色经验+7%\n破产可购买1元翻盘基金\n破产可购买10元翻盘基金\n捕鱼时总命中+1%\n激光威力+5%\n青铜核弹威力+1%\n每日可购买金币80次\n每次救济金领取8倍\n每日可领取救济金7次</v>
      </c>
    </row>
    <row r="12" spans="1:27" x14ac:dyDescent="0.15">
      <c r="A12" s="6">
        <v>8</v>
      </c>
      <c r="B12" s="6">
        <v>6000000</v>
      </c>
      <c r="C12" s="6">
        <v>0</v>
      </c>
      <c r="D12" s="6">
        <v>50</v>
      </c>
      <c r="E12" s="6">
        <v>90</v>
      </c>
      <c r="F12" s="6">
        <v>99999</v>
      </c>
      <c r="G12" s="6">
        <v>10000</v>
      </c>
      <c r="H12" s="6" t="s">
        <v>11</v>
      </c>
      <c r="I12" s="6" t="s">
        <v>117</v>
      </c>
      <c r="J12" s="6" t="s">
        <v>107</v>
      </c>
      <c r="K12" s="6">
        <v>1</v>
      </c>
      <c r="L12" s="6">
        <v>0.08</v>
      </c>
      <c r="M12" s="6">
        <v>0</v>
      </c>
      <c r="N12" s="6">
        <v>0</v>
      </c>
      <c r="O12" s="6" t="s">
        <v>11</v>
      </c>
      <c r="P12" s="6">
        <v>9</v>
      </c>
      <c r="Q12" s="6">
        <v>100</v>
      </c>
      <c r="R12" s="6">
        <v>2500</v>
      </c>
      <c r="S12" s="6">
        <v>7</v>
      </c>
      <c r="T12" s="13">
        <v>140000</v>
      </c>
      <c r="U12" s="6">
        <v>75000</v>
      </c>
      <c r="V12" s="13" t="s">
        <v>146</v>
      </c>
      <c r="W12" s="13" t="s">
        <v>130</v>
      </c>
      <c r="X12" s="6" t="s">
        <v>12</v>
      </c>
      <c r="Y12" s="6" t="s">
        <v>21</v>
      </c>
      <c r="Z12" s="6" t="s">
        <v>14</v>
      </c>
      <c r="AA12" s="6" t="str">
        <f>VLOOKUP(表1[[#This Row],[特权说明]],[1]!表1[#Data],2,FALSE)</f>
        <v>可购买V8礼包\n魅力5000\n游戏内好友上限50\n每日首次登录金币不足15万，补满15万\n每日首次登录钻石不足40，补满40\n接金币小游戏获得金币+6%\n疯狂河豚小游戏获得金币+2%\n捕鱼获得角色经验+8%\n破产可购买1元翻盘基金\n破产可购买10元翻盘基金\n捕鱼时总命中+1.5%\n激光威力+5%\n青铜核弹威力+2%\n每日可购买金币100次\n每次救济金领取9倍\n每日可领取救济金7次</v>
      </c>
    </row>
    <row r="13" spans="1:27" x14ac:dyDescent="0.15">
      <c r="A13" s="6">
        <v>9</v>
      </c>
      <c r="B13" s="6">
        <v>12000000</v>
      </c>
      <c r="C13" s="6">
        <v>0</v>
      </c>
      <c r="D13" s="6">
        <v>55</v>
      </c>
      <c r="E13" s="6">
        <v>100</v>
      </c>
      <c r="F13" s="6">
        <v>99999</v>
      </c>
      <c r="G13" s="6">
        <v>20000</v>
      </c>
      <c r="H13" s="6" t="s">
        <v>11</v>
      </c>
      <c r="I13" s="6" t="s">
        <v>117</v>
      </c>
      <c r="J13" s="6" t="s">
        <v>107</v>
      </c>
      <c r="K13" s="6">
        <v>1</v>
      </c>
      <c r="L13" s="6">
        <v>0.09</v>
      </c>
      <c r="M13" s="6">
        <v>0</v>
      </c>
      <c r="N13" s="6">
        <v>0</v>
      </c>
      <c r="O13" s="6" t="s">
        <v>11</v>
      </c>
      <c r="P13" s="6">
        <v>10</v>
      </c>
      <c r="Q13" s="6">
        <v>150</v>
      </c>
      <c r="R13" s="6">
        <v>2500</v>
      </c>
      <c r="S13" s="6">
        <v>8</v>
      </c>
      <c r="T13" s="13">
        <v>190000</v>
      </c>
      <c r="U13" s="6">
        <v>100000</v>
      </c>
      <c r="V13" s="13" t="s">
        <v>150</v>
      </c>
      <c r="W13" s="13" t="s">
        <v>131</v>
      </c>
      <c r="X13" s="6" t="s">
        <v>12</v>
      </c>
      <c r="Y13" s="6" t="s">
        <v>22</v>
      </c>
      <c r="Z13" s="6" t="s">
        <v>14</v>
      </c>
      <c r="AA13" s="6" t="str">
        <f>VLOOKUP(表1[[#This Row],[特权说明]],[1]!表1[#Data],2,FALSE)</f>
        <v>可购买V9礼包\n魅力10000\n游戏内好友上限55\n每日首次登录金币不足20万，补满20万\n每日首次登录钻石不足50，补满50\n接金币小游戏获得金币+6%\n疯狂河豚小游戏获得金币+4%\n捕鱼获得角色经验+9%\n破产可购买1元翻盘基金\n破产可购买10元翻盘基金\n捕鱼时总命中+1.5%\n激光威力+5%\n青铜核弹威力+2%\n白银核弹威力+1%\n每日可购买金币150次\n每次救济金领取10倍\n每日可领取救济金8次</v>
      </c>
    </row>
    <row r="14" spans="1:27" x14ac:dyDescent="0.15">
      <c r="A14" s="6">
        <v>10</v>
      </c>
      <c r="B14" s="6">
        <v>21000000</v>
      </c>
      <c r="C14" s="6">
        <v>0</v>
      </c>
      <c r="D14" s="6">
        <v>60</v>
      </c>
      <c r="E14" s="6">
        <v>110</v>
      </c>
      <c r="F14" s="6">
        <v>99999</v>
      </c>
      <c r="G14" s="6">
        <v>40000</v>
      </c>
      <c r="H14" s="6" t="s">
        <v>11</v>
      </c>
      <c r="I14" s="6" t="s">
        <v>118</v>
      </c>
      <c r="J14" s="6" t="s">
        <v>108</v>
      </c>
      <c r="K14" s="6">
        <v>1</v>
      </c>
      <c r="L14" s="6">
        <v>0.1</v>
      </c>
      <c r="M14" s="6">
        <v>0</v>
      </c>
      <c r="N14" s="6">
        <v>0</v>
      </c>
      <c r="O14" s="6" t="s">
        <v>11</v>
      </c>
      <c r="P14" s="6">
        <v>11</v>
      </c>
      <c r="Q14" s="6">
        <v>200</v>
      </c>
      <c r="R14" s="6">
        <v>3000</v>
      </c>
      <c r="S14" s="6">
        <v>8</v>
      </c>
      <c r="T14" s="13">
        <v>215000</v>
      </c>
      <c r="U14" s="6">
        <v>100000</v>
      </c>
      <c r="V14" s="13" t="s">
        <v>147</v>
      </c>
      <c r="W14" s="13" t="s">
        <v>132</v>
      </c>
      <c r="X14" s="6" t="s">
        <v>12</v>
      </c>
      <c r="Y14" s="6" t="s">
        <v>23</v>
      </c>
      <c r="Z14" s="6" t="s">
        <v>14</v>
      </c>
      <c r="AA14" s="6" t="str">
        <f>VLOOKUP(表1[[#This Row],[特权说明]],[1]!表1[#Data],2,FALSE)</f>
        <v>可购买V10礼包\n魅力15000\n游戏内好友上限60\n每日首次登录金币不足25万，补满25万\n每日首次登录钻石不足60，补满60\n接金币小游戏获得金币+6%\n疯狂河豚小游戏获得金币+4%\n打泡泡小游戏获得金币+2%\n捕鱼获得角色经验+10%\n破产可购买1元翻盘基金\n破产可购买10元翻盘基金\n捕鱼时总命中+1.5%\n激光威力+5%\n青铜核弹威力+2%\n白银核弹威力+2%\n每日可购买金币200次\n每次救济金领取11倍\n每日可领取救济金8次</v>
      </c>
    </row>
    <row r="15" spans="1:27" x14ac:dyDescent="0.15">
      <c r="A15" s="6">
        <v>11</v>
      </c>
      <c r="B15" s="6">
        <v>30000000</v>
      </c>
      <c r="C15" s="6">
        <v>0</v>
      </c>
      <c r="D15" s="6">
        <v>65</v>
      </c>
      <c r="E15" s="6">
        <v>120</v>
      </c>
      <c r="F15" s="6">
        <v>99999</v>
      </c>
      <c r="G15" s="6">
        <v>60000</v>
      </c>
      <c r="H15" s="6" t="s">
        <v>11</v>
      </c>
      <c r="I15" s="6" t="s">
        <v>118</v>
      </c>
      <c r="J15" s="6" t="s">
        <v>108</v>
      </c>
      <c r="K15" s="6">
        <v>1</v>
      </c>
      <c r="L15" s="6">
        <v>0.11</v>
      </c>
      <c r="M15" s="6">
        <v>0</v>
      </c>
      <c r="N15" s="6">
        <v>0</v>
      </c>
      <c r="O15" s="6" t="s">
        <v>11</v>
      </c>
      <c r="P15" s="6">
        <v>12</v>
      </c>
      <c r="Q15" s="6">
        <v>300</v>
      </c>
      <c r="R15" s="6">
        <v>3000</v>
      </c>
      <c r="S15" s="6">
        <v>9</v>
      </c>
      <c r="T15" s="13">
        <v>275000</v>
      </c>
      <c r="U15" s="6">
        <v>125000</v>
      </c>
      <c r="V15" s="13" t="s">
        <v>155</v>
      </c>
      <c r="W15" s="13" t="s">
        <v>133</v>
      </c>
      <c r="X15" s="6" t="s">
        <v>12</v>
      </c>
      <c r="Y15" s="6" t="s">
        <v>24</v>
      </c>
      <c r="Z15" s="6" t="s">
        <v>14</v>
      </c>
      <c r="AA15" s="6" t="str">
        <f>VLOOKUP(表1[[#This Row],[特权说明]],[1]!表1[#Data],2,FALSE)</f>
        <v>可购买V11礼包\n魅力20000\n游戏内好友上限65\n每日首次登录金币不足30万，补满30万\n每日首次登录钻石不足70，补满70\n接金币小游戏获得金币+6%\n疯狂河豚小游戏获得金币+6%\n打泡泡小游戏获得金币+2%\n捕鱼获得角色经验+11%\n破产可购买1元翻盘基金\n破产可购买10元翻盘基金\n捕鱼时总命中+2%\n激光威力+5%\n青铜核弹威力+3%\n白银核弹威力+2%\n每日可购买金币300次\n每次救济金领取12倍\n每日可领取救济金9次</v>
      </c>
    </row>
    <row r="16" spans="1:27" x14ac:dyDescent="0.15">
      <c r="A16" s="6">
        <v>12</v>
      </c>
      <c r="B16" s="6">
        <v>60000000</v>
      </c>
      <c r="C16" s="6">
        <v>0</v>
      </c>
      <c r="D16" s="6">
        <v>70</v>
      </c>
      <c r="E16" s="6">
        <v>130</v>
      </c>
      <c r="F16" s="6">
        <v>99999</v>
      </c>
      <c r="G16" s="6">
        <v>80000</v>
      </c>
      <c r="H16" s="6" t="s">
        <v>11</v>
      </c>
      <c r="I16" s="6" t="s">
        <v>119</v>
      </c>
      <c r="J16" s="6" t="s">
        <v>109</v>
      </c>
      <c r="K16" s="6">
        <v>1</v>
      </c>
      <c r="L16" s="6">
        <v>0.12</v>
      </c>
      <c r="M16" s="6">
        <v>0</v>
      </c>
      <c r="N16" s="6">
        <v>0</v>
      </c>
      <c r="O16" s="6" t="s">
        <v>11</v>
      </c>
      <c r="P16" s="6">
        <v>13</v>
      </c>
      <c r="Q16" s="6">
        <v>400</v>
      </c>
      <c r="R16" s="6">
        <v>3500</v>
      </c>
      <c r="S16" s="6">
        <v>9</v>
      </c>
      <c r="T16" s="13">
        <v>285000</v>
      </c>
      <c r="U16" s="6">
        <v>125000</v>
      </c>
      <c r="V16" s="13" t="s">
        <v>141</v>
      </c>
      <c r="W16" s="13" t="s">
        <v>134</v>
      </c>
      <c r="X16" s="6" t="s">
        <v>12</v>
      </c>
      <c r="Y16" s="6" t="s">
        <v>25</v>
      </c>
      <c r="Z16" s="6" t="s">
        <v>14</v>
      </c>
      <c r="AA16" s="6" t="str">
        <f>VLOOKUP(表1[[#This Row],[特权说明]],[1]!表1[#Data],2,FALSE)</f>
        <v>可购买V12礼包\n魅力30000\n游戏内好友上限70\n每日首次登录金币不足35万，补满35万\n每日首次登录钻石不足70，补满70\n接金币小游戏获得金币+6%\n疯狂河豚小游戏获得金币+6%\n打泡泡小游戏获得金币+4%\n捕鱼获得角色经验+12%\n破产可购买1元翻盘基金\n破产可购买10元翻盘基金\n捕鱼时总命中+2%\n激光威力+5%\n青铜核弹威力+3%\n白银核弹威力+3%\n每日可购买金币400次\n每次救济金领取13倍\n每日可领取救济金9次</v>
      </c>
    </row>
    <row r="17" spans="1:27" x14ac:dyDescent="0.15">
      <c r="A17" s="6">
        <v>13</v>
      </c>
      <c r="B17" s="6">
        <v>120000000</v>
      </c>
      <c r="C17" s="6">
        <v>0</v>
      </c>
      <c r="D17" s="6">
        <v>75</v>
      </c>
      <c r="E17" s="6">
        <v>140</v>
      </c>
      <c r="F17" s="6">
        <v>99999</v>
      </c>
      <c r="G17" s="6">
        <v>100000</v>
      </c>
      <c r="H17" s="6" t="s">
        <v>11</v>
      </c>
      <c r="I17" s="6" t="s">
        <v>119</v>
      </c>
      <c r="J17" s="6" t="s">
        <v>109</v>
      </c>
      <c r="K17" s="6">
        <v>1</v>
      </c>
      <c r="L17" s="6">
        <v>0.13</v>
      </c>
      <c r="M17" s="6">
        <v>0</v>
      </c>
      <c r="N17" s="6">
        <v>0</v>
      </c>
      <c r="O17" s="6" t="s">
        <v>11</v>
      </c>
      <c r="P17" s="6">
        <v>14</v>
      </c>
      <c r="Q17" s="6">
        <v>600</v>
      </c>
      <c r="R17" s="6">
        <v>3500</v>
      </c>
      <c r="S17" s="6">
        <v>10</v>
      </c>
      <c r="T17" s="13">
        <v>350000</v>
      </c>
      <c r="U17" s="6">
        <v>150000</v>
      </c>
      <c r="V17" s="13" t="s">
        <v>151</v>
      </c>
      <c r="W17" s="13" t="s">
        <v>135</v>
      </c>
      <c r="X17" s="6" t="s">
        <v>12</v>
      </c>
      <c r="Y17" s="6" t="s">
        <v>26</v>
      </c>
      <c r="Z17" s="6" t="s">
        <v>14</v>
      </c>
      <c r="AA17" s="6" t="str">
        <f>VLOOKUP(表1[[#This Row],[特权说明]],[1]!表1[#Data],2,FALSE)</f>
        <v>可购买V13礼包\n魅力40000\n游戏内好友上限75\n每日首次登录金币不足40万，补满40万\n每日首次登录钻石不足90，补满90\n接金币小游戏获得金币+6%\n疯狂河豚小游戏获得金币+6%\n打泡泡小游戏获得金币+6%\n捕鱼获得角色经验+13%\n破产可购买1元翻盘基金\n破产可购买10元翻盘基金\n捕鱼时总命中+2%\n激光威力+5%\n青铜核弹威力+4%\n白银核弹威力+3%\n每日可购买金币600次\n每次救济金领取14倍\n每日可领取救济金10次</v>
      </c>
    </row>
    <row r="18" spans="1:27" x14ac:dyDescent="0.15">
      <c r="A18" s="6">
        <v>14</v>
      </c>
      <c r="B18" s="6">
        <v>210000000</v>
      </c>
      <c r="C18" s="6">
        <v>0</v>
      </c>
      <c r="D18" s="6">
        <v>80</v>
      </c>
      <c r="E18" s="6">
        <v>150</v>
      </c>
      <c r="F18" s="6">
        <v>99999</v>
      </c>
      <c r="G18" s="6">
        <v>150000</v>
      </c>
      <c r="H18" s="6" t="s">
        <v>11</v>
      </c>
      <c r="I18" s="6" t="s">
        <v>119</v>
      </c>
      <c r="J18" s="6" t="s">
        <v>109</v>
      </c>
      <c r="K18" s="6">
        <v>1</v>
      </c>
      <c r="L18" s="6">
        <v>0.14000000000000001</v>
      </c>
      <c r="M18" s="6">
        <v>0</v>
      </c>
      <c r="N18" s="6">
        <v>0</v>
      </c>
      <c r="O18" s="6" t="s">
        <v>11</v>
      </c>
      <c r="P18" s="6">
        <v>15</v>
      </c>
      <c r="Q18" s="6">
        <v>800</v>
      </c>
      <c r="R18" s="6">
        <v>4000</v>
      </c>
      <c r="S18" s="6">
        <v>10</v>
      </c>
      <c r="T18" s="13">
        <v>380000</v>
      </c>
      <c r="U18" s="6">
        <v>150000</v>
      </c>
      <c r="V18" s="13" t="s">
        <v>142</v>
      </c>
      <c r="W18" s="13" t="s">
        <v>136</v>
      </c>
      <c r="X18" s="6" t="s">
        <v>12</v>
      </c>
      <c r="Y18" s="6" t="s">
        <v>27</v>
      </c>
      <c r="Z18" s="6" t="s">
        <v>14</v>
      </c>
      <c r="AA18" s="6" t="str">
        <f>VLOOKUP(表1[[#This Row],[特权说明]],[1]!表1[#Data],2,FALSE)</f>
        <v>可购买V14礼包\n魅力60000\n游戏内好友上限80\n每日首次登录金币不足50万，补满50万\n每日首次登录钻石不足100，补满100\n接金币小游戏获得金币+6%\n疯狂河豚小游戏获得金币+6%\n打泡泡小游戏获得金币+6%\n捕鱼获得角色经验+14%\n破产可购买1元翻盘基金\n破产可购买10元翻盘基金\n捕鱼时总命中+2.5%\n激光威力+5%\n青铜核弹威力+4%\n白银核弹威力+4%\n每日可购买金币800次\n每次救济金领取15倍\n每日可领取救济金10次</v>
      </c>
    </row>
    <row r="19" spans="1:27" x14ac:dyDescent="0.15">
      <c r="A19" s="6">
        <v>15</v>
      </c>
      <c r="B19" s="6">
        <v>300000000</v>
      </c>
      <c r="C19" s="6">
        <v>0</v>
      </c>
      <c r="D19" s="6">
        <v>85</v>
      </c>
      <c r="E19" s="6">
        <v>160</v>
      </c>
      <c r="F19" s="6">
        <v>99999</v>
      </c>
      <c r="G19" s="6">
        <v>200000</v>
      </c>
      <c r="H19" s="6" t="s">
        <v>11</v>
      </c>
      <c r="I19" s="6" t="s">
        <v>119</v>
      </c>
      <c r="J19" s="6" t="s">
        <v>109</v>
      </c>
      <c r="K19" s="6">
        <v>1</v>
      </c>
      <c r="L19" s="6">
        <v>0.15</v>
      </c>
      <c r="M19" s="6">
        <v>0</v>
      </c>
      <c r="N19" s="6">
        <v>0</v>
      </c>
      <c r="O19" s="6" t="s">
        <v>11</v>
      </c>
      <c r="P19" s="6">
        <v>16</v>
      </c>
      <c r="Q19" s="6">
        <v>1000</v>
      </c>
      <c r="R19" s="6">
        <v>5000</v>
      </c>
      <c r="S19" s="6">
        <v>15</v>
      </c>
      <c r="T19" s="13">
        <v>525000</v>
      </c>
      <c r="U19" s="6">
        <v>200000</v>
      </c>
      <c r="V19" s="13" t="s">
        <v>152</v>
      </c>
      <c r="W19" s="13" t="s">
        <v>137</v>
      </c>
      <c r="X19" s="6" t="s">
        <v>12</v>
      </c>
      <c r="Y19" s="6" t="s">
        <v>28</v>
      </c>
      <c r="Z19" s="6" t="s">
        <v>14</v>
      </c>
      <c r="AA19" s="6" t="str">
        <f>VLOOKUP(表1[[#This Row],[特权说明]],[1]!表1[#Data],2,FALSE)</f>
        <v>可购买V15礼包\n魅力100000\n游戏内好友上限85\n每日首次登录金币不足60万，补满60万\n每日首次登录钻石不足120，补满120\n接金币小游戏获得金币+6%\n疯狂河豚小游戏获得金币+6%\n打泡泡小游戏获得金币+6%\n捕鱼获得角色经验+15%\n破产可购买1元翻盘基金\n破产可购买10元翻盘基金\n捕鱼时总命中+2.5%\n激光威力+5%\n青铜核弹威力+5%\n白银核弹威力+5%\n每日可购买金币1000次\n每次救济金领取16倍\n每日可领取救济金15次</v>
      </c>
    </row>
  </sheetData>
  <phoneticPr fontId="6" type="noConversion"/>
  <dataValidations count="8">
    <dataValidation allowBlank="1" showInputMessage="1" showErrorMessage="1" promptTitle="[[技能ID，强化值]，[技能ID，强化值]]" prompt="hitrate=hitrate*（1+此值）" sqref="O3:P3" xr:uid="{00000000-0002-0000-0100-000000000000}"/>
    <dataValidation allowBlank="1" showInputMessage="1" showErrorMessage="1" promptTitle="礼包配置格式：[[道具，道具数量]，[道具，道具数量]，……]" prompt="可多个" sqref="V3:W3" xr:uid="{00000000-0002-0000-0100-000001000000}"/>
    <dataValidation allowBlank="1" showInputMessage="1" showErrorMessage="1" promptTitle="[[小游戏ID，加成值]，[小游戏ID，加成值]]" prompt="原有几率*（1+技能强化值/100000）_x000a_0接金币，1疯狂河豚，2dzp" sqref="H3" xr:uid="{00000000-0002-0000-0100-000002000000}"/>
    <dataValidation allowBlank="1" showInputMessage="1" showErrorMessage="1" promptTitle="每日补足金币" prompt="每日首次登录，不足10000金币，系统自动将玩家的金币数量重置为10000" sqref="C3" xr:uid="{00000000-0002-0000-0100-000003000000}"/>
    <dataValidation allowBlank="1" showInputMessage="1" showErrorMessage="1" promptTitle="每日补足钻石" prompt="每日首次登录，不足10钻石，系统自动将玩家的钻石数量重置为10" sqref="E3:F3" xr:uid="{00000000-0002-0000-0100-000004000000}"/>
    <dataValidation allowBlank="1" showInputMessage="1" showErrorMessage="1" promptTitle="捕鱼公式最终命中提高" prompt="原值*（1+此值）" sqref="N3" xr:uid="{00000000-0002-0000-0100-000005000000}"/>
    <dataValidation allowBlank="1" showInputMessage="1" showErrorMessage="1" promptTitle="升级到该级VIP需要充值的RMB金额" prompt="单位元_x000a_但是在VIP界面的进度需要按*10的钻石来显示" sqref="B3" xr:uid="{00000000-0002-0000-0100-000006000000}"/>
    <dataValidation allowBlank="1" showInputMessage="1" showErrorMessage="1" promptTitle="开炮增加经验提高" prompt="原值*（1+此值）" sqref="L3" xr:uid="{00000000-0002-0000-0100-000007000000}"/>
  </dataValidations>
  <pageMargins left="0.69930555555555596" right="0.69930555555555596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1"/>
  <sheetViews>
    <sheetView workbookViewId="0">
      <pane xSplit="1" ySplit="3" topLeftCell="B4" activePane="bottomRight" state="frozenSplit"/>
      <selection pane="topRight" activeCell="B1" sqref="B1"/>
      <selection pane="bottomLeft" activeCell="A4" sqref="A4"/>
      <selection pane="bottomRight" activeCell="D8" sqref="D8"/>
    </sheetView>
  </sheetViews>
  <sheetFormatPr defaultColWidth="9" defaultRowHeight="13.5" x14ac:dyDescent="0.15"/>
  <cols>
    <col min="1" max="1" width="12.5" style="7" customWidth="1"/>
    <col min="2" max="2" width="37.5" style="7" bestFit="1" customWidth="1"/>
    <col min="3" max="3" width="26.75" style="7" bestFit="1" customWidth="1"/>
    <col min="4" max="4" width="17.625" style="7" customWidth="1"/>
    <col min="5" max="6" width="20.625" style="7" customWidth="1"/>
    <col min="7" max="16384" width="9" style="7"/>
  </cols>
  <sheetData>
    <row r="1" spans="1:4" ht="16.5" x14ac:dyDescent="0.3">
      <c r="A1" s="10" t="s">
        <v>78</v>
      </c>
      <c r="B1" s="1" t="s">
        <v>80</v>
      </c>
      <c r="C1" s="1" t="s">
        <v>81</v>
      </c>
      <c r="D1" s="1" t="s">
        <v>82</v>
      </c>
    </row>
    <row r="2" spans="1:4" ht="16.5" x14ac:dyDescent="0.15">
      <c r="A2" s="11" t="s">
        <v>10</v>
      </c>
      <c r="B2" s="8" t="s">
        <v>96</v>
      </c>
      <c r="C2" s="8" t="s">
        <v>96</v>
      </c>
      <c r="D2" s="8" t="s">
        <v>96</v>
      </c>
    </row>
    <row r="3" spans="1:4" x14ac:dyDescent="0.15">
      <c r="A3" s="12" t="s">
        <v>79</v>
      </c>
      <c r="B3" s="6" t="s">
        <v>83</v>
      </c>
      <c r="C3" s="6" t="s">
        <v>84</v>
      </c>
      <c r="D3" s="6" t="s">
        <v>85</v>
      </c>
    </row>
    <row r="4" spans="1:4" x14ac:dyDescent="0.15">
      <c r="A4" s="6">
        <v>1</v>
      </c>
      <c r="B4" s="13" t="s">
        <v>86</v>
      </c>
      <c r="C4" s="13" t="s">
        <v>87</v>
      </c>
      <c r="D4" s="13" t="s">
        <v>91</v>
      </c>
    </row>
    <row r="5" spans="1:4" x14ac:dyDescent="0.15">
      <c r="A5" s="6">
        <v>2</v>
      </c>
      <c r="B5" s="13" t="s">
        <v>86</v>
      </c>
      <c r="C5" s="13" t="s">
        <v>88</v>
      </c>
      <c r="D5" s="13" t="s">
        <v>91</v>
      </c>
    </row>
    <row r="6" spans="1:4" x14ac:dyDescent="0.15">
      <c r="A6" s="6">
        <v>3</v>
      </c>
      <c r="B6" s="13" t="s">
        <v>86</v>
      </c>
      <c r="C6" s="13" t="s">
        <v>89</v>
      </c>
      <c r="D6" s="13" t="s">
        <v>91</v>
      </c>
    </row>
    <row r="7" spans="1:4" x14ac:dyDescent="0.15">
      <c r="A7" s="6">
        <v>4</v>
      </c>
      <c r="B7" s="13" t="s">
        <v>86</v>
      </c>
      <c r="C7" s="13" t="s">
        <v>90</v>
      </c>
      <c r="D7" s="13" t="s">
        <v>91</v>
      </c>
    </row>
    <row r="8" spans="1:4" x14ac:dyDescent="0.15">
      <c r="A8" s="6">
        <v>5</v>
      </c>
      <c r="B8" s="13" t="s">
        <v>86</v>
      </c>
      <c r="C8" s="13" t="s">
        <v>93</v>
      </c>
      <c r="D8" s="13" t="s">
        <v>91</v>
      </c>
    </row>
    <row r="9" spans="1:4" x14ac:dyDescent="0.15">
      <c r="A9" s="6">
        <v>6</v>
      </c>
      <c r="B9" s="13" t="s">
        <v>86</v>
      </c>
      <c r="C9" s="13" t="s">
        <v>94</v>
      </c>
      <c r="D9" s="13" t="s">
        <v>91</v>
      </c>
    </row>
    <row r="10" spans="1:4" x14ac:dyDescent="0.15">
      <c r="A10" s="6">
        <v>7</v>
      </c>
      <c r="B10" s="13" t="s">
        <v>86</v>
      </c>
      <c r="C10" s="13" t="s">
        <v>95</v>
      </c>
      <c r="D10" s="13" t="s">
        <v>91</v>
      </c>
    </row>
    <row r="11" spans="1:4" x14ac:dyDescent="0.15">
      <c r="A11" s="6">
        <v>8</v>
      </c>
      <c r="B11" s="13" t="s">
        <v>86</v>
      </c>
      <c r="C11" s="13" t="s">
        <v>92</v>
      </c>
      <c r="D11" s="13" t="s">
        <v>91</v>
      </c>
    </row>
  </sheetData>
  <phoneticPr fontId="5" type="noConversion"/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description</vt:lpstr>
      <vt:lpstr>vip_cfg</vt:lpstr>
      <vt:lpstr>qzonevip_cfg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2017-12-13T02:09:14Z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